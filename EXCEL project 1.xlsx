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E975FA9-1343-4370-A68D-8ACCAA53FA75}" xr6:coauthVersionLast="47" xr6:coauthVersionMax="47" xr10:uidLastSave="{00000000-0000-0000-0000-000000000000}"/>
  <bookViews>
    <workbookView xWindow="-110" yWindow="-110" windowWidth="19420" windowHeight="10300" firstSheet="1" activeTab="1" xr2:uid="{89A3BD8F-7CB0-4FA8-B3B2-21CF8A9FC129}"/>
  </bookViews>
  <sheets>
    <sheet name="Raw Data" sheetId="1" r:id="rId1"/>
    <sheet name="Cleaned Data" sheetId="2" r:id="rId2"/>
    <sheet name="Retail Domain &amp; KPIs" sheetId="3" r:id="rId3"/>
    <sheet name="KPI Explanation" sheetId="4" r:id="rId4"/>
    <sheet name="Basic Analysis" sheetId="5" r:id="rId5"/>
  </sheets>
  <definedNames>
    <definedName name="_xlnm._FilterDatabase" localSheetId="1" hidden="1">'Cleaned Data'!$A$1:$O$1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5" l="1"/>
  <c r="G17" i="5"/>
  <c r="G16" i="5"/>
  <c r="G15" i="5"/>
  <c r="G14" i="5"/>
  <c r="G6" i="5"/>
  <c r="G5" i="5"/>
  <c r="G4" i="5"/>
  <c r="B17" i="5"/>
  <c r="B16" i="5"/>
  <c r="B15" i="5"/>
  <c r="B14" i="5"/>
  <c r="B6" i="5"/>
  <c r="B7" i="5"/>
  <c r="B8" i="5"/>
  <c r="B4" i="5"/>
  <c r="B5" i="5"/>
  <c r="B6" i="3"/>
  <c r="B5" i="3"/>
  <c r="B8" i="3"/>
  <c r="B7" i="3"/>
  <c r="B3" i="3"/>
  <c r="B2" i="3"/>
</calcChain>
</file>

<file path=xl/sharedStrings.xml><?xml version="1.0" encoding="utf-8"?>
<sst xmlns="http://schemas.openxmlformats.org/spreadsheetml/2006/main" count="1004" uniqueCount="267">
  <si>
    <t>Order ID</t>
  </si>
  <si>
    <t>Order Date</t>
  </si>
  <si>
    <t>Customer ID</t>
  </si>
  <si>
    <t>Customer Name</t>
  </si>
  <si>
    <t>Region</t>
  </si>
  <si>
    <t>Customer Segment</t>
  </si>
  <si>
    <t>Product Category</t>
  </si>
  <si>
    <t>Product</t>
  </si>
  <si>
    <t>Quantity</t>
  </si>
  <si>
    <t>Unit Price (₹)</t>
  </si>
  <si>
    <t>Discount (%)</t>
  </si>
  <si>
    <t>Sales (₹)</t>
  </si>
  <si>
    <t>Profit (₹)</t>
  </si>
  <si>
    <t>Payment Method</t>
  </si>
  <si>
    <t>Salesperson</t>
  </si>
  <si>
    <t>ORD1001</t>
  </si>
  <si>
    <t>C101</t>
  </si>
  <si>
    <t>Arun Kumar</t>
  </si>
  <si>
    <t>North</t>
  </si>
  <si>
    <t>Consumer</t>
  </si>
  <si>
    <t>Electronics</t>
  </si>
  <si>
    <t>Wireless Mouse</t>
  </si>
  <si>
    <t>UPI</t>
  </si>
  <si>
    <t>Rahul</t>
  </si>
  <si>
    <t>ORD1002</t>
  </si>
  <si>
    <t>C102</t>
  </si>
  <si>
    <t>Priya Menon</t>
  </si>
  <si>
    <t>South</t>
  </si>
  <si>
    <t>Corporate</t>
  </si>
  <si>
    <t>Keyboard</t>
  </si>
  <si>
    <t>Credit Card</t>
  </si>
  <si>
    <t>Nikhil</t>
  </si>
  <si>
    <t>ORD1003</t>
  </si>
  <si>
    <t>C103</t>
  </si>
  <si>
    <t>Rahul Das</t>
  </si>
  <si>
    <t>East</t>
  </si>
  <si>
    <t>Furniture</t>
  </si>
  <si>
    <t>Office Chair</t>
  </si>
  <si>
    <t>Debit Card</t>
  </si>
  <si>
    <t>Arun</t>
  </si>
  <si>
    <t>ORD1004</t>
  </si>
  <si>
    <t>C104</t>
  </si>
  <si>
    <t>Neha Singh</t>
  </si>
  <si>
    <t>West</t>
  </si>
  <si>
    <t>Small Business</t>
  </si>
  <si>
    <t>Clothing</t>
  </si>
  <si>
    <t>Formal Shirt</t>
  </si>
  <si>
    <t>Meera</t>
  </si>
  <si>
    <t>ORD1005</t>
  </si>
  <si>
    <t>15/01/2025</t>
  </si>
  <si>
    <t>C105</t>
  </si>
  <si>
    <t>Mohammed Ali</t>
  </si>
  <si>
    <t>Home &amp; Kitchen</t>
  </si>
  <si>
    <t>Electric Kettle</t>
  </si>
  <si>
    <t>Cash</t>
  </si>
  <si>
    <t>Fasil</t>
  </si>
  <si>
    <t>ORD1006</t>
  </si>
  <si>
    <t>18/01/2025</t>
  </si>
  <si>
    <t>C106</t>
  </si>
  <si>
    <t>Anjali Nair</t>
  </si>
  <si>
    <t>Sports</t>
  </si>
  <si>
    <t>Running Shoes</t>
  </si>
  <si>
    <t>ORD1007</t>
  </si>
  <si>
    <t>20/01/2025</t>
  </si>
  <si>
    <t>C107</t>
  </si>
  <si>
    <t>Vivek Sharma</t>
  </si>
  <si>
    <t>USB Cable</t>
  </si>
  <si>
    <t>ORD1008</t>
  </si>
  <si>
    <t>23/01/2025</t>
  </si>
  <si>
    <t>C108</t>
  </si>
  <si>
    <t>Fathima KT</t>
  </si>
  <si>
    <t>Study Table</t>
  </si>
  <si>
    <t>ORD1009</t>
  </si>
  <si>
    <t>25/01/2025</t>
  </si>
  <si>
    <t>C109</t>
  </si>
  <si>
    <t>Rohit Das</t>
  </si>
  <si>
    <t>Jeans</t>
  </si>
  <si>
    <t>ORD1010</t>
  </si>
  <si>
    <t>28/01/2025</t>
  </si>
  <si>
    <t>C110</t>
  </si>
  <si>
    <t>Shreya Rao</t>
  </si>
  <si>
    <t>Mixer Grinder</t>
  </si>
  <si>
    <t>ORD1011</t>
  </si>
  <si>
    <t>C111</t>
  </si>
  <si>
    <t>Akash Kumar</t>
  </si>
  <si>
    <t>Power Bank</t>
  </si>
  <si>
    <t>ORD1012</t>
  </si>
  <si>
    <t>C112</t>
  </si>
  <si>
    <t>Divya Menon</t>
  </si>
  <si>
    <t>Bookshelf</t>
  </si>
  <si>
    <t>ORD1013</t>
  </si>
  <si>
    <t>C113</t>
  </si>
  <si>
    <t>Sanjay Nair</t>
  </si>
  <si>
    <t>Cricket Bat</t>
  </si>
  <si>
    <t>ORD1014</t>
  </si>
  <si>
    <t>C114</t>
  </si>
  <si>
    <t>Ayesha Ali</t>
  </si>
  <si>
    <t>Casual T-Shirt</t>
  </si>
  <si>
    <t>ORD1015</t>
  </si>
  <si>
    <t>C115</t>
  </si>
  <si>
    <t>Kiran Kumar</t>
  </si>
  <si>
    <t>Air Fryer</t>
  </si>
  <si>
    <t>ORD1016</t>
  </si>
  <si>
    <t>14/02/2025</t>
  </si>
  <si>
    <t>C116</t>
  </si>
  <si>
    <t>Meera Joseph</t>
  </si>
  <si>
    <t>Headphones</t>
  </si>
  <si>
    <t>ORD1017</t>
  </si>
  <si>
    <t>17/02/2025</t>
  </si>
  <si>
    <t>C117</t>
  </si>
  <si>
    <t>Nikhil Raj</t>
  </si>
  <si>
    <t>Dining Chair</t>
  </si>
  <si>
    <t>ORD1018</t>
  </si>
  <si>
    <t>20/02/2025</t>
  </si>
  <si>
    <t>C118</t>
  </si>
  <si>
    <t>Faisal Khan</t>
  </si>
  <si>
    <t>Jacket</t>
  </si>
  <si>
    <t>ORD1019</t>
  </si>
  <si>
    <t>23/02/2025</t>
  </si>
  <si>
    <t>C119</t>
  </si>
  <si>
    <t>Anu Thomas</t>
  </si>
  <si>
    <t>Football</t>
  </si>
  <si>
    <t>ORD1020</t>
  </si>
  <si>
    <t>26/02/2025</t>
  </si>
  <si>
    <t>C120</t>
  </si>
  <si>
    <t>Ramesh Babu</t>
  </si>
  <si>
    <t>Microwave Oven</t>
  </si>
  <si>
    <t>ORD1021</t>
  </si>
  <si>
    <t>C121</t>
  </si>
  <si>
    <t>Manoj Kumar</t>
  </si>
  <si>
    <t>Smart Watch</t>
  </si>
  <si>
    <t>ORD1022</t>
  </si>
  <si>
    <t>C122</t>
  </si>
  <si>
    <t>Sneha Nair</t>
  </si>
  <si>
    <t>Office Desk</t>
  </si>
  <si>
    <t>ORD1023</t>
  </si>
  <si>
    <t>C123</t>
  </si>
  <si>
    <t>Adil Ahmed</t>
  </si>
  <si>
    <t>Formal Pant</t>
  </si>
  <si>
    <t>ORD1024</t>
  </si>
  <si>
    <t>C124</t>
  </si>
  <si>
    <t>Lakshmi Menon</t>
  </si>
  <si>
    <t>Toaster</t>
  </si>
  <si>
    <t>ORD1025</t>
  </si>
  <si>
    <t>14/03/2025</t>
  </si>
  <si>
    <t>C125</t>
  </si>
  <si>
    <t>Deepak Raj</t>
  </si>
  <si>
    <t>Badminton Racket</t>
  </si>
  <si>
    <t>ORD1026</t>
  </si>
  <si>
    <t>17/03/2025</t>
  </si>
  <si>
    <t>C126</t>
  </si>
  <si>
    <t>Swathi Kumar</t>
  </si>
  <si>
    <t>Bluetooth Speaker</t>
  </si>
  <si>
    <t>ORD1027</t>
  </si>
  <si>
    <t>20/03/2025</t>
  </si>
  <si>
    <t>C127</t>
  </si>
  <si>
    <t>Salman Khan</t>
  </si>
  <si>
    <t>Sofa</t>
  </si>
  <si>
    <t>ORD1028</t>
  </si>
  <si>
    <t>23/03/2025</t>
  </si>
  <si>
    <t>C128</t>
  </si>
  <si>
    <t>Reshma Nair</t>
  </si>
  <si>
    <t>Saree</t>
  </si>
  <si>
    <t>ORD1029</t>
  </si>
  <si>
    <t>26/03/2025</t>
  </si>
  <si>
    <t>C129</t>
  </si>
  <si>
    <t>Ajay Kumar</t>
  </si>
  <si>
    <t>Refrigerator</t>
  </si>
  <si>
    <t>ORD1030</t>
  </si>
  <si>
    <t>29/03/2025</t>
  </si>
  <si>
    <t>C130</t>
  </si>
  <si>
    <t>Pooja Das</t>
  </si>
  <si>
    <t>Sports Watch</t>
  </si>
  <si>
    <t>ORD1031</t>
  </si>
  <si>
    <t>C131</t>
  </si>
  <si>
    <t>Varun Nair</t>
  </si>
  <si>
    <t>ORD1032</t>
  </si>
  <si>
    <t>C132</t>
  </si>
  <si>
    <t>Amal Joseph</t>
  </si>
  <si>
    <t>ORD1033</t>
  </si>
  <si>
    <t>C133</t>
  </si>
  <si>
    <t>Shahid Ali</t>
  </si>
  <si>
    <t>ORD1034</t>
  </si>
  <si>
    <t>C134</t>
  </si>
  <si>
    <t>Reshma Paul</t>
  </si>
  <si>
    <t>ORD1035</t>
  </si>
  <si>
    <t>15/04/2025</t>
  </si>
  <si>
    <t>C135</t>
  </si>
  <si>
    <t>Vishnu Das</t>
  </si>
  <si>
    <t>ORD1036</t>
  </si>
  <si>
    <t>18/04/2025</t>
  </si>
  <si>
    <t>C136</t>
  </si>
  <si>
    <t>Neethu Nair</t>
  </si>
  <si>
    <t>ORD1037</t>
  </si>
  <si>
    <t>21/04/2025</t>
  </si>
  <si>
    <t>C137</t>
  </si>
  <si>
    <t>Asif Rahman</t>
  </si>
  <si>
    <t>ORD1038</t>
  </si>
  <si>
    <t>24/04/2025</t>
  </si>
  <si>
    <t>C138</t>
  </si>
  <si>
    <t>Anjali Menon</t>
  </si>
  <si>
    <t>ORD1039</t>
  </si>
  <si>
    <t>27/04/2025</t>
  </si>
  <si>
    <t>C139</t>
  </si>
  <si>
    <t>Suresh Kumar</t>
  </si>
  <si>
    <t>ORD1040</t>
  </si>
  <si>
    <t>30/04/2025</t>
  </si>
  <si>
    <t>C140</t>
  </si>
  <si>
    <t>Fathima Ali</t>
  </si>
  <si>
    <t>ORD1041</t>
  </si>
  <si>
    <t>C141</t>
  </si>
  <si>
    <t>Rajesh Nair</t>
  </si>
  <si>
    <t>ORD1042</t>
  </si>
  <si>
    <t>C142</t>
  </si>
  <si>
    <t>Anu Joseph</t>
  </si>
  <si>
    <t>ORD1043</t>
  </si>
  <si>
    <t>C143</t>
  </si>
  <si>
    <t>Midhun Kumar</t>
  </si>
  <si>
    <t>ORD1044</t>
  </si>
  <si>
    <t>13/05/2025</t>
  </si>
  <si>
    <t>C144</t>
  </si>
  <si>
    <t>Sana Fathima</t>
  </si>
  <si>
    <t>ORD1045</t>
  </si>
  <si>
    <t>16/05/2025</t>
  </si>
  <si>
    <t>C145</t>
  </si>
  <si>
    <t>Abdul Rahman</t>
  </si>
  <si>
    <t>ORD1046</t>
  </si>
  <si>
    <t>19/05/2025</t>
  </si>
  <si>
    <t>C146</t>
  </si>
  <si>
    <t>Gayathri Nair</t>
  </si>
  <si>
    <t>ORD1047</t>
  </si>
  <si>
    <t>22/05/2025</t>
  </si>
  <si>
    <t>C147</t>
  </si>
  <si>
    <t>Pranav Das</t>
  </si>
  <si>
    <t>ORD1048</t>
  </si>
  <si>
    <t>25/05/2025</t>
  </si>
  <si>
    <t>C148</t>
  </si>
  <si>
    <t>Hiba Ali</t>
  </si>
  <si>
    <t>ORD1049</t>
  </si>
  <si>
    <t>28/05/2025</t>
  </si>
  <si>
    <t>C149</t>
  </si>
  <si>
    <t>Sachin Kumar</t>
  </si>
  <si>
    <t>ORD1050</t>
  </si>
  <si>
    <t>31/05/2025</t>
  </si>
  <si>
    <t>C150</t>
  </si>
  <si>
    <t>Amrutha Menon</t>
  </si>
  <si>
    <t>DISCOUNT(%)</t>
  </si>
  <si>
    <t>KPI</t>
  </si>
  <si>
    <t>Value</t>
  </si>
  <si>
    <t>Total Sales (Revenue)</t>
  </si>
  <si>
    <t>Total Profit</t>
  </si>
  <si>
    <t>Profit Margin</t>
  </si>
  <si>
    <t>Average Order Value (AOV)</t>
  </si>
  <si>
    <t>Total Quantity Sold</t>
  </si>
  <si>
    <t>Highest Sales</t>
  </si>
  <si>
    <t>Lowest Sales</t>
  </si>
  <si>
    <t>Why businesses track this metric</t>
  </si>
  <si>
    <t>Measures how the discount given on products affects the profit earned from sales.</t>
  </si>
  <si>
    <t>Helps businesses understand whether discounts increase sales while maintaining profit, and whether high discounts reduce profitability.</t>
  </si>
  <si>
    <t>Imapct discount on profit</t>
  </si>
  <si>
    <t>what KPI MEAUSURE</t>
  </si>
  <si>
    <t>Total Sales</t>
  </si>
  <si>
    <t>Total Sales by Product Category</t>
  </si>
  <si>
    <t>Total Sales by Region</t>
  </si>
  <si>
    <t>Profit by Customer Segment</t>
  </si>
  <si>
    <t>Quantity Sold</t>
  </si>
  <si>
    <t>Quantity Sold by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</si>
</sst>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2" formatCode="dd/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9" fontId="0" fillId="0" borderId="0" xfId="2" applyFont="1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9" fontId="0" fillId="0" borderId="1" xfId="2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" fontId="0" fillId="0" borderId="1" xfId="0" applyNumberFormat="1" applyBorder="1"/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9" fontId="3" fillId="0" borderId="1" xfId="2" applyFont="1" applyBorder="1" applyAlignment="1">
      <alignment horizontal="center" wrapText="1"/>
    </xf>
    <xf numFmtId="4" fontId="3" fillId="0" borderId="1" xfId="1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72" fontId="0" fillId="0" borderId="1" xfId="0" applyNumberFormat="1" applyBorder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4" fontId="0" fillId="0" borderId="1" xfId="1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37FD-BA8F-49CC-9422-599CB12CFD1E}">
  <dimension ref="A1:O51"/>
  <sheetViews>
    <sheetView topLeftCell="A27" zoomScaleNormal="100" workbookViewId="0">
      <selection activeCellId="2" sqref="A28:O51 B27:O27 A1:O26"/>
    </sheetView>
  </sheetViews>
  <sheetFormatPr defaultRowHeight="14.5" x14ac:dyDescent="0.35"/>
  <cols>
    <col min="1" max="1" width="10.81640625" customWidth="1"/>
    <col min="2" max="2" width="10.36328125" customWidth="1"/>
    <col min="3" max="3" width="8.7265625" customWidth="1"/>
    <col min="4" max="4" width="13.453125" customWidth="1"/>
    <col min="5" max="5" width="8.7265625" customWidth="1"/>
    <col min="6" max="6" width="13.26953125" customWidth="1"/>
    <col min="7" max="7" width="15.1796875" customWidth="1"/>
    <col min="8" max="8" width="13.7265625" customWidth="1"/>
    <col min="14" max="14" width="14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45778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850</v>
      </c>
      <c r="K2">
        <v>5</v>
      </c>
      <c r="L2">
        <v>2422.5</v>
      </c>
      <c r="M2">
        <v>363.38</v>
      </c>
      <c r="N2" t="s">
        <v>22</v>
      </c>
      <c r="O2" t="s">
        <v>23</v>
      </c>
    </row>
    <row r="3" spans="1:15" x14ac:dyDescent="0.35">
      <c r="A3" t="s">
        <v>24</v>
      </c>
      <c r="B3" s="1">
        <v>45839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>
        <v>5</v>
      </c>
      <c r="J3">
        <v>1200</v>
      </c>
      <c r="K3">
        <v>10</v>
      </c>
      <c r="L3">
        <v>5400</v>
      </c>
      <c r="M3">
        <v>810</v>
      </c>
      <c r="N3" t="s">
        <v>30</v>
      </c>
      <c r="O3" t="s">
        <v>31</v>
      </c>
    </row>
    <row r="4" spans="1:15" x14ac:dyDescent="0.35">
      <c r="A4" t="s">
        <v>32</v>
      </c>
      <c r="B4" s="1">
        <v>45931</v>
      </c>
      <c r="C4" t="s">
        <v>33</v>
      </c>
      <c r="D4" t="s">
        <v>34</v>
      </c>
      <c r="E4" t="s">
        <v>35</v>
      </c>
      <c r="F4" t="s">
        <v>19</v>
      </c>
      <c r="G4" t="s">
        <v>36</v>
      </c>
      <c r="H4" t="s">
        <v>37</v>
      </c>
      <c r="I4">
        <v>2</v>
      </c>
      <c r="J4">
        <v>6500</v>
      </c>
      <c r="K4">
        <v>5</v>
      </c>
      <c r="L4">
        <v>12350</v>
      </c>
      <c r="M4">
        <v>1852.5</v>
      </c>
      <c r="N4" t="s">
        <v>38</v>
      </c>
      <c r="O4" t="s">
        <v>39</v>
      </c>
    </row>
    <row r="5" spans="1:15" x14ac:dyDescent="0.35">
      <c r="A5" t="s">
        <v>40</v>
      </c>
      <c r="B5" s="1">
        <v>45992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v>8</v>
      </c>
      <c r="J5">
        <v>1500</v>
      </c>
      <c r="K5">
        <v>10</v>
      </c>
      <c r="L5">
        <v>10800</v>
      </c>
      <c r="M5">
        <v>1620</v>
      </c>
      <c r="N5" t="s">
        <v>22</v>
      </c>
      <c r="O5" t="s">
        <v>47</v>
      </c>
    </row>
    <row r="6" spans="1:15" x14ac:dyDescent="0.35">
      <c r="A6" t="s">
        <v>48</v>
      </c>
      <c r="B6" t="s">
        <v>49</v>
      </c>
      <c r="C6" t="s">
        <v>50</v>
      </c>
      <c r="D6" t="s">
        <v>51</v>
      </c>
      <c r="E6" t="s">
        <v>18</v>
      </c>
      <c r="F6" t="s">
        <v>19</v>
      </c>
      <c r="G6" t="s">
        <v>52</v>
      </c>
      <c r="H6" t="s">
        <v>53</v>
      </c>
      <c r="I6">
        <v>4</v>
      </c>
      <c r="J6">
        <v>1800</v>
      </c>
      <c r="K6">
        <v>5</v>
      </c>
      <c r="L6">
        <v>6840</v>
      </c>
      <c r="M6">
        <v>1026</v>
      </c>
      <c r="N6" t="s">
        <v>54</v>
      </c>
      <c r="O6" t="s">
        <v>55</v>
      </c>
    </row>
    <row r="7" spans="1:15" x14ac:dyDescent="0.35">
      <c r="A7" t="s">
        <v>56</v>
      </c>
      <c r="B7" t="s">
        <v>57</v>
      </c>
      <c r="C7" t="s">
        <v>58</v>
      </c>
      <c r="D7" t="s">
        <v>59</v>
      </c>
      <c r="E7" t="s">
        <v>27</v>
      </c>
      <c r="F7" t="s">
        <v>28</v>
      </c>
      <c r="G7" t="s">
        <v>60</v>
      </c>
      <c r="H7" t="s">
        <v>61</v>
      </c>
      <c r="I7">
        <v>3</v>
      </c>
      <c r="J7">
        <v>3500</v>
      </c>
      <c r="K7">
        <v>10</v>
      </c>
      <c r="L7">
        <v>9450</v>
      </c>
      <c r="M7">
        <v>1417.5</v>
      </c>
      <c r="N7" t="s">
        <v>22</v>
      </c>
      <c r="O7" t="s">
        <v>23</v>
      </c>
    </row>
    <row r="8" spans="1:15" x14ac:dyDescent="0.35">
      <c r="A8" t="s">
        <v>62</v>
      </c>
      <c r="B8" t="s">
        <v>63</v>
      </c>
      <c r="C8" t="s">
        <v>64</v>
      </c>
      <c r="D8" t="s">
        <v>65</v>
      </c>
      <c r="E8" t="s">
        <v>35</v>
      </c>
      <c r="F8" t="s">
        <v>19</v>
      </c>
      <c r="G8" t="s">
        <v>20</v>
      </c>
      <c r="H8" t="s">
        <v>66</v>
      </c>
      <c r="I8">
        <v>10</v>
      </c>
      <c r="J8">
        <v>450</v>
      </c>
      <c r="K8">
        <v>0</v>
      </c>
      <c r="L8">
        <v>4500</v>
      </c>
      <c r="M8">
        <v>675</v>
      </c>
      <c r="N8" t="s">
        <v>30</v>
      </c>
      <c r="O8" t="s">
        <v>31</v>
      </c>
    </row>
    <row r="9" spans="1:15" x14ac:dyDescent="0.35">
      <c r="A9" t="s">
        <v>67</v>
      </c>
      <c r="B9" t="s">
        <v>68</v>
      </c>
      <c r="C9" t="s">
        <v>69</v>
      </c>
      <c r="D9" t="s">
        <v>70</v>
      </c>
      <c r="E9" t="s">
        <v>43</v>
      </c>
      <c r="F9" t="s">
        <v>28</v>
      </c>
      <c r="G9" t="s">
        <v>36</v>
      </c>
      <c r="H9" t="s">
        <v>71</v>
      </c>
      <c r="I9">
        <v>2</v>
      </c>
      <c r="J9">
        <v>5500</v>
      </c>
      <c r="K9">
        <v>5</v>
      </c>
      <c r="L9">
        <v>10450</v>
      </c>
      <c r="M9">
        <v>1567.5</v>
      </c>
      <c r="N9" t="s">
        <v>38</v>
      </c>
      <c r="O9" t="s">
        <v>39</v>
      </c>
    </row>
    <row r="10" spans="1:15" x14ac:dyDescent="0.35">
      <c r="A10" t="s">
        <v>72</v>
      </c>
      <c r="B10" t="s">
        <v>73</v>
      </c>
      <c r="C10" t="s">
        <v>74</v>
      </c>
      <c r="D10" t="s">
        <v>75</v>
      </c>
      <c r="E10" t="s">
        <v>18</v>
      </c>
      <c r="F10" t="s">
        <v>44</v>
      </c>
      <c r="G10" t="s">
        <v>45</v>
      </c>
      <c r="H10" t="s">
        <v>76</v>
      </c>
      <c r="I10">
        <v>6</v>
      </c>
      <c r="J10">
        <v>2200</v>
      </c>
      <c r="K10">
        <v>10</v>
      </c>
      <c r="L10">
        <v>11880</v>
      </c>
      <c r="M10">
        <v>1782</v>
      </c>
      <c r="N10" t="s">
        <v>22</v>
      </c>
      <c r="O10" t="s">
        <v>47</v>
      </c>
    </row>
    <row r="11" spans="1:15" x14ac:dyDescent="0.35">
      <c r="A11" t="s">
        <v>77</v>
      </c>
      <c r="B11" t="s">
        <v>78</v>
      </c>
      <c r="C11" t="s">
        <v>79</v>
      </c>
      <c r="D11" t="s">
        <v>80</v>
      </c>
      <c r="E11" t="s">
        <v>27</v>
      </c>
      <c r="F11" t="s">
        <v>19</v>
      </c>
      <c r="G11" t="s">
        <v>52</v>
      </c>
      <c r="H11" t="s">
        <v>81</v>
      </c>
      <c r="I11">
        <v>2</v>
      </c>
      <c r="J11">
        <v>4200</v>
      </c>
      <c r="K11">
        <v>5</v>
      </c>
      <c r="L11">
        <v>7980</v>
      </c>
      <c r="M11">
        <v>1197</v>
      </c>
      <c r="N11" t="s">
        <v>54</v>
      </c>
      <c r="O11" t="s">
        <v>55</v>
      </c>
    </row>
    <row r="12" spans="1:15" x14ac:dyDescent="0.35">
      <c r="A12" t="s">
        <v>82</v>
      </c>
      <c r="B12" s="1">
        <v>45690</v>
      </c>
      <c r="C12" t="s">
        <v>83</v>
      </c>
      <c r="D12" t="s">
        <v>84</v>
      </c>
      <c r="E12" t="s">
        <v>35</v>
      </c>
      <c r="F12" t="s">
        <v>28</v>
      </c>
      <c r="G12" t="s">
        <v>20</v>
      </c>
      <c r="H12" t="s">
        <v>85</v>
      </c>
      <c r="I12">
        <v>5</v>
      </c>
      <c r="J12">
        <v>1600</v>
      </c>
      <c r="K12">
        <v>5</v>
      </c>
      <c r="L12">
        <v>7600</v>
      </c>
      <c r="M12">
        <v>1140</v>
      </c>
      <c r="N12" t="s">
        <v>22</v>
      </c>
      <c r="O12" t="s">
        <v>23</v>
      </c>
    </row>
    <row r="13" spans="1:15" x14ac:dyDescent="0.35">
      <c r="A13" t="s">
        <v>86</v>
      </c>
      <c r="B13" s="1">
        <v>45749</v>
      </c>
      <c r="C13" t="s">
        <v>87</v>
      </c>
      <c r="D13" t="s">
        <v>88</v>
      </c>
      <c r="E13" t="s">
        <v>43</v>
      </c>
      <c r="F13" t="s">
        <v>19</v>
      </c>
      <c r="G13" t="s">
        <v>36</v>
      </c>
      <c r="H13" t="s">
        <v>89</v>
      </c>
      <c r="I13">
        <v>3</v>
      </c>
      <c r="J13">
        <v>4800</v>
      </c>
      <c r="K13">
        <v>10</v>
      </c>
      <c r="L13">
        <v>12960</v>
      </c>
      <c r="M13">
        <v>1944</v>
      </c>
      <c r="N13" t="s">
        <v>30</v>
      </c>
      <c r="O13" t="s">
        <v>31</v>
      </c>
    </row>
    <row r="14" spans="1:15" x14ac:dyDescent="0.35">
      <c r="A14" t="s">
        <v>90</v>
      </c>
      <c r="B14" s="1">
        <v>45810</v>
      </c>
      <c r="C14" t="s">
        <v>91</v>
      </c>
      <c r="D14" t="s">
        <v>92</v>
      </c>
      <c r="E14" t="s">
        <v>18</v>
      </c>
      <c r="F14" t="s">
        <v>28</v>
      </c>
      <c r="G14" t="s">
        <v>60</v>
      </c>
      <c r="H14" t="s">
        <v>93</v>
      </c>
      <c r="I14">
        <v>2</v>
      </c>
      <c r="J14">
        <v>5000</v>
      </c>
      <c r="K14">
        <v>5</v>
      </c>
      <c r="L14">
        <v>9500</v>
      </c>
      <c r="M14">
        <v>1425</v>
      </c>
      <c r="N14" t="s">
        <v>38</v>
      </c>
      <c r="O14" t="s">
        <v>39</v>
      </c>
    </row>
    <row r="15" spans="1:15" x14ac:dyDescent="0.35">
      <c r="A15" t="s">
        <v>94</v>
      </c>
      <c r="B15" s="1">
        <v>45902</v>
      </c>
      <c r="C15" t="s">
        <v>95</v>
      </c>
      <c r="D15" t="s">
        <v>96</v>
      </c>
      <c r="E15" t="s">
        <v>27</v>
      </c>
      <c r="F15" t="s">
        <v>19</v>
      </c>
      <c r="G15" t="s">
        <v>45</v>
      </c>
      <c r="H15" t="s">
        <v>97</v>
      </c>
      <c r="I15">
        <v>10</v>
      </c>
      <c r="J15">
        <v>800</v>
      </c>
      <c r="K15">
        <v>10</v>
      </c>
      <c r="L15">
        <v>7200</v>
      </c>
      <c r="M15">
        <v>1080</v>
      </c>
      <c r="N15" t="s">
        <v>22</v>
      </c>
      <c r="O15" t="s">
        <v>47</v>
      </c>
    </row>
    <row r="16" spans="1:15" x14ac:dyDescent="0.35">
      <c r="A16" t="s">
        <v>98</v>
      </c>
      <c r="B16" s="1">
        <v>45963</v>
      </c>
      <c r="C16" t="s">
        <v>99</v>
      </c>
      <c r="D16" t="s">
        <v>100</v>
      </c>
      <c r="E16" t="s">
        <v>35</v>
      </c>
      <c r="F16" t="s">
        <v>44</v>
      </c>
      <c r="G16" t="s">
        <v>52</v>
      </c>
      <c r="H16" t="s">
        <v>101</v>
      </c>
      <c r="I16">
        <v>3</v>
      </c>
      <c r="J16">
        <v>6000</v>
      </c>
      <c r="K16">
        <v>5</v>
      </c>
      <c r="L16">
        <v>17100</v>
      </c>
      <c r="M16">
        <v>2565</v>
      </c>
      <c r="N16" t="s">
        <v>54</v>
      </c>
      <c r="O16" t="s">
        <v>55</v>
      </c>
    </row>
    <row r="17" spans="1:15" x14ac:dyDescent="0.35">
      <c r="A17" t="s">
        <v>102</v>
      </c>
      <c r="B17" t="s">
        <v>103</v>
      </c>
      <c r="C17" t="s">
        <v>104</v>
      </c>
      <c r="D17" t="s">
        <v>105</v>
      </c>
      <c r="E17" t="s">
        <v>43</v>
      </c>
      <c r="F17" t="s">
        <v>28</v>
      </c>
      <c r="G17" t="s">
        <v>20</v>
      </c>
      <c r="H17" t="s">
        <v>106</v>
      </c>
      <c r="I17">
        <v>4</v>
      </c>
      <c r="J17">
        <v>2500</v>
      </c>
      <c r="K17">
        <v>10</v>
      </c>
      <c r="L17">
        <v>9000</v>
      </c>
      <c r="M17">
        <v>1350</v>
      </c>
      <c r="N17" t="s">
        <v>30</v>
      </c>
      <c r="O17" t="s">
        <v>23</v>
      </c>
    </row>
    <row r="18" spans="1:15" x14ac:dyDescent="0.35">
      <c r="A18" t="s">
        <v>107</v>
      </c>
      <c r="B18" t="s">
        <v>108</v>
      </c>
      <c r="C18" t="s">
        <v>109</v>
      </c>
      <c r="D18" t="s">
        <v>110</v>
      </c>
      <c r="E18" t="s">
        <v>18</v>
      </c>
      <c r="F18" t="s">
        <v>19</v>
      </c>
      <c r="G18" t="s">
        <v>36</v>
      </c>
      <c r="H18" t="s">
        <v>111</v>
      </c>
      <c r="I18">
        <v>6</v>
      </c>
      <c r="J18">
        <v>2800</v>
      </c>
      <c r="K18">
        <v>5</v>
      </c>
      <c r="L18">
        <v>15960</v>
      </c>
      <c r="M18">
        <v>2394</v>
      </c>
      <c r="N18" t="s">
        <v>22</v>
      </c>
      <c r="O18" t="s">
        <v>31</v>
      </c>
    </row>
    <row r="19" spans="1:15" x14ac:dyDescent="0.35">
      <c r="A19" t="s">
        <v>112</v>
      </c>
      <c r="B19" t="s">
        <v>113</v>
      </c>
      <c r="C19" t="s">
        <v>114</v>
      </c>
      <c r="D19" t="s">
        <v>115</v>
      </c>
      <c r="E19" t="s">
        <v>27</v>
      </c>
      <c r="F19" t="s">
        <v>44</v>
      </c>
      <c r="G19" t="s">
        <v>45</v>
      </c>
      <c r="H19" t="s">
        <v>116</v>
      </c>
      <c r="I19">
        <v>4</v>
      </c>
      <c r="J19">
        <v>3200</v>
      </c>
      <c r="K19">
        <v>10</v>
      </c>
      <c r="L19">
        <v>11520</v>
      </c>
      <c r="M19">
        <v>1728</v>
      </c>
      <c r="N19" t="s">
        <v>38</v>
      </c>
      <c r="O19" t="s">
        <v>39</v>
      </c>
    </row>
    <row r="20" spans="1:15" x14ac:dyDescent="0.35">
      <c r="A20" t="s">
        <v>117</v>
      </c>
      <c r="B20" t="s">
        <v>118</v>
      </c>
      <c r="C20" t="s">
        <v>119</v>
      </c>
      <c r="D20" t="s">
        <v>120</v>
      </c>
      <c r="E20" t="s">
        <v>35</v>
      </c>
      <c r="F20" t="s">
        <v>19</v>
      </c>
      <c r="G20" t="s">
        <v>60</v>
      </c>
      <c r="H20" t="s">
        <v>121</v>
      </c>
      <c r="I20">
        <v>5</v>
      </c>
      <c r="J20">
        <v>1800</v>
      </c>
      <c r="K20">
        <v>5</v>
      </c>
      <c r="L20">
        <v>8550</v>
      </c>
      <c r="M20">
        <v>1282.5</v>
      </c>
      <c r="N20" t="s">
        <v>22</v>
      </c>
      <c r="O20" t="s">
        <v>47</v>
      </c>
    </row>
    <row r="21" spans="1:15" x14ac:dyDescent="0.35">
      <c r="A21" t="s">
        <v>122</v>
      </c>
      <c r="B21" t="s">
        <v>123</v>
      </c>
      <c r="C21" t="s">
        <v>124</v>
      </c>
      <c r="D21" t="s">
        <v>125</v>
      </c>
      <c r="E21" t="s">
        <v>43</v>
      </c>
      <c r="F21" t="s">
        <v>28</v>
      </c>
      <c r="G21" t="s">
        <v>52</v>
      </c>
      <c r="H21" t="s">
        <v>126</v>
      </c>
      <c r="I21">
        <v>2</v>
      </c>
      <c r="J21">
        <v>8500</v>
      </c>
      <c r="K21">
        <v>10</v>
      </c>
      <c r="L21">
        <v>15300</v>
      </c>
      <c r="M21">
        <v>2295</v>
      </c>
      <c r="N21" t="s">
        <v>54</v>
      </c>
      <c r="O21" t="s">
        <v>55</v>
      </c>
    </row>
    <row r="22" spans="1:15" x14ac:dyDescent="0.35">
      <c r="A22" t="s">
        <v>127</v>
      </c>
      <c r="B22" s="1">
        <v>45691</v>
      </c>
      <c r="C22" t="s">
        <v>128</v>
      </c>
      <c r="D22" t="s">
        <v>129</v>
      </c>
      <c r="E22" t="s">
        <v>18</v>
      </c>
      <c r="F22" t="s">
        <v>19</v>
      </c>
      <c r="G22" t="s">
        <v>20</v>
      </c>
      <c r="H22" t="s">
        <v>130</v>
      </c>
      <c r="I22">
        <v>3</v>
      </c>
      <c r="J22">
        <v>4500</v>
      </c>
      <c r="K22">
        <v>5</v>
      </c>
      <c r="L22">
        <v>12825</v>
      </c>
      <c r="M22">
        <v>1923.75</v>
      </c>
      <c r="N22" t="s">
        <v>22</v>
      </c>
      <c r="O22" t="s">
        <v>23</v>
      </c>
    </row>
    <row r="23" spans="1:15" x14ac:dyDescent="0.35">
      <c r="A23" t="s">
        <v>131</v>
      </c>
      <c r="B23" s="1">
        <v>45780</v>
      </c>
      <c r="C23" t="s">
        <v>132</v>
      </c>
      <c r="D23" t="s">
        <v>133</v>
      </c>
      <c r="E23" t="s">
        <v>27</v>
      </c>
      <c r="F23" t="s">
        <v>28</v>
      </c>
      <c r="G23" t="s">
        <v>36</v>
      </c>
      <c r="H23" t="s">
        <v>134</v>
      </c>
      <c r="I23">
        <v>2</v>
      </c>
      <c r="J23">
        <v>9000</v>
      </c>
      <c r="K23">
        <v>10</v>
      </c>
      <c r="L23">
        <v>16200</v>
      </c>
      <c r="M23">
        <v>2430</v>
      </c>
      <c r="N23" t="s">
        <v>30</v>
      </c>
      <c r="O23" t="s">
        <v>31</v>
      </c>
    </row>
    <row r="24" spans="1:15" x14ac:dyDescent="0.35">
      <c r="A24" t="s">
        <v>135</v>
      </c>
      <c r="B24" s="1">
        <v>45872</v>
      </c>
      <c r="C24" t="s">
        <v>136</v>
      </c>
      <c r="D24" t="s">
        <v>137</v>
      </c>
      <c r="E24" t="s">
        <v>35</v>
      </c>
      <c r="F24" t="s">
        <v>44</v>
      </c>
      <c r="G24" t="s">
        <v>45</v>
      </c>
      <c r="H24" t="s">
        <v>138</v>
      </c>
      <c r="I24">
        <v>7</v>
      </c>
      <c r="J24">
        <v>1800</v>
      </c>
      <c r="K24">
        <v>5</v>
      </c>
      <c r="L24">
        <v>11970</v>
      </c>
      <c r="M24">
        <v>1795.5</v>
      </c>
      <c r="N24" t="s">
        <v>38</v>
      </c>
      <c r="O24" t="s">
        <v>39</v>
      </c>
    </row>
    <row r="25" spans="1:15" x14ac:dyDescent="0.35">
      <c r="A25" t="s">
        <v>139</v>
      </c>
      <c r="B25" s="1">
        <v>45964</v>
      </c>
      <c r="C25" t="s">
        <v>140</v>
      </c>
      <c r="D25" t="s">
        <v>141</v>
      </c>
      <c r="E25" t="s">
        <v>43</v>
      </c>
      <c r="F25" t="s">
        <v>19</v>
      </c>
      <c r="G25" t="s">
        <v>52</v>
      </c>
      <c r="H25" t="s">
        <v>142</v>
      </c>
      <c r="I25">
        <v>5</v>
      </c>
      <c r="J25">
        <v>1400</v>
      </c>
      <c r="K25">
        <v>0</v>
      </c>
      <c r="L25">
        <v>7000</v>
      </c>
      <c r="M25">
        <v>1050</v>
      </c>
      <c r="N25" t="s">
        <v>22</v>
      </c>
      <c r="O25" t="s">
        <v>47</v>
      </c>
    </row>
    <row r="26" spans="1:15" x14ac:dyDescent="0.35">
      <c r="A26" t="s">
        <v>143</v>
      </c>
      <c r="B26" t="s">
        <v>144</v>
      </c>
      <c r="C26" t="s">
        <v>145</v>
      </c>
      <c r="D26" t="s">
        <v>146</v>
      </c>
      <c r="E26" t="s">
        <v>18</v>
      </c>
      <c r="F26" t="s">
        <v>28</v>
      </c>
      <c r="G26" t="s">
        <v>60</v>
      </c>
      <c r="H26" t="s">
        <v>147</v>
      </c>
      <c r="I26">
        <v>4</v>
      </c>
      <c r="J26">
        <v>2400</v>
      </c>
      <c r="K26">
        <v>10</v>
      </c>
      <c r="L26">
        <v>8640</v>
      </c>
      <c r="M26">
        <v>1296</v>
      </c>
      <c r="N26" t="s">
        <v>54</v>
      </c>
      <c r="O26" t="s">
        <v>55</v>
      </c>
    </row>
    <row r="27" spans="1:15" x14ac:dyDescent="0.35">
      <c r="A27" t="s">
        <v>148</v>
      </c>
      <c r="B27" t="s">
        <v>149</v>
      </c>
      <c r="C27" t="s">
        <v>150</v>
      </c>
      <c r="D27" t="s">
        <v>151</v>
      </c>
      <c r="E27" t="s">
        <v>27</v>
      </c>
      <c r="F27" t="s">
        <v>19</v>
      </c>
      <c r="G27" t="s">
        <v>20</v>
      </c>
      <c r="H27" t="s">
        <v>152</v>
      </c>
      <c r="I27">
        <v>3</v>
      </c>
      <c r="J27">
        <v>3000</v>
      </c>
      <c r="K27">
        <v>5</v>
      </c>
      <c r="L27">
        <v>8550</v>
      </c>
      <c r="M27">
        <v>1282.5</v>
      </c>
      <c r="N27" t="s">
        <v>22</v>
      </c>
      <c r="O27" t="s">
        <v>23</v>
      </c>
    </row>
    <row r="28" spans="1:15" x14ac:dyDescent="0.35">
      <c r="A28" t="s">
        <v>153</v>
      </c>
      <c r="B28" t="s">
        <v>154</v>
      </c>
      <c r="C28" t="s">
        <v>155</v>
      </c>
      <c r="D28" t="s">
        <v>156</v>
      </c>
      <c r="E28" t="s">
        <v>35</v>
      </c>
      <c r="F28" t="s">
        <v>28</v>
      </c>
      <c r="G28" t="s">
        <v>36</v>
      </c>
      <c r="H28" t="s">
        <v>157</v>
      </c>
      <c r="I28">
        <v>1</v>
      </c>
      <c r="J28">
        <v>22000</v>
      </c>
      <c r="K28">
        <v>10</v>
      </c>
      <c r="L28">
        <v>19800</v>
      </c>
      <c r="M28">
        <v>2970</v>
      </c>
      <c r="N28" t="s">
        <v>30</v>
      </c>
      <c r="O28" t="s">
        <v>31</v>
      </c>
    </row>
    <row r="29" spans="1:15" x14ac:dyDescent="0.35">
      <c r="A29" t="s">
        <v>158</v>
      </c>
      <c r="B29" t="s">
        <v>159</v>
      </c>
      <c r="C29" t="s">
        <v>160</v>
      </c>
      <c r="D29" t="s">
        <v>161</v>
      </c>
      <c r="E29" t="s">
        <v>43</v>
      </c>
      <c r="F29" t="s">
        <v>44</v>
      </c>
      <c r="G29" t="s">
        <v>45</v>
      </c>
      <c r="H29" t="s">
        <v>162</v>
      </c>
      <c r="I29">
        <v>5</v>
      </c>
      <c r="J29">
        <v>3500</v>
      </c>
      <c r="K29">
        <v>5</v>
      </c>
      <c r="L29">
        <v>16625</v>
      </c>
      <c r="M29">
        <v>2493.75</v>
      </c>
      <c r="N29" t="s">
        <v>38</v>
      </c>
      <c r="O29" t="s">
        <v>39</v>
      </c>
    </row>
    <row r="30" spans="1:15" x14ac:dyDescent="0.35">
      <c r="A30" t="s">
        <v>163</v>
      </c>
      <c r="B30" t="s">
        <v>164</v>
      </c>
      <c r="C30" t="s">
        <v>165</v>
      </c>
      <c r="D30" t="s">
        <v>166</v>
      </c>
      <c r="E30" t="s">
        <v>18</v>
      </c>
      <c r="F30" t="s">
        <v>19</v>
      </c>
      <c r="G30" t="s">
        <v>52</v>
      </c>
      <c r="H30" t="s">
        <v>167</v>
      </c>
      <c r="I30">
        <v>1</v>
      </c>
      <c r="J30">
        <v>32000</v>
      </c>
      <c r="K30">
        <v>10</v>
      </c>
      <c r="L30">
        <v>28800</v>
      </c>
      <c r="M30">
        <v>4320</v>
      </c>
      <c r="N30" t="s">
        <v>22</v>
      </c>
      <c r="O30" t="s">
        <v>47</v>
      </c>
    </row>
    <row r="31" spans="1:15" x14ac:dyDescent="0.35">
      <c r="A31" t="s">
        <v>168</v>
      </c>
      <c r="B31" t="s">
        <v>169</v>
      </c>
      <c r="C31" t="s">
        <v>170</v>
      </c>
      <c r="D31" t="s">
        <v>171</v>
      </c>
      <c r="E31" t="s">
        <v>27</v>
      </c>
      <c r="F31" t="s">
        <v>28</v>
      </c>
      <c r="G31" t="s">
        <v>60</v>
      </c>
      <c r="H31" t="s">
        <v>172</v>
      </c>
      <c r="I31">
        <v>2</v>
      </c>
      <c r="J31">
        <v>5500</v>
      </c>
      <c r="K31">
        <v>5</v>
      </c>
      <c r="L31">
        <v>10450</v>
      </c>
      <c r="M31">
        <v>1567.5</v>
      </c>
      <c r="N31" t="s">
        <v>54</v>
      </c>
      <c r="O31" t="s">
        <v>55</v>
      </c>
    </row>
    <row r="32" spans="1:15" x14ac:dyDescent="0.35">
      <c r="A32" t="s">
        <v>173</v>
      </c>
      <c r="B32" s="1">
        <v>45720</v>
      </c>
      <c r="C32" t="s">
        <v>174</v>
      </c>
      <c r="D32" t="s">
        <v>175</v>
      </c>
      <c r="E32" t="s">
        <v>35</v>
      </c>
      <c r="F32" t="s">
        <v>19</v>
      </c>
      <c r="G32" t="s">
        <v>20</v>
      </c>
      <c r="H32" t="s">
        <v>21</v>
      </c>
      <c r="I32">
        <v>6</v>
      </c>
      <c r="J32">
        <v>850</v>
      </c>
      <c r="K32">
        <v>5</v>
      </c>
      <c r="L32">
        <v>4845</v>
      </c>
      <c r="M32">
        <v>726.75</v>
      </c>
      <c r="N32" t="s">
        <v>22</v>
      </c>
      <c r="O32" t="s">
        <v>23</v>
      </c>
    </row>
    <row r="33" spans="1:15" x14ac:dyDescent="0.35">
      <c r="A33" t="s">
        <v>176</v>
      </c>
      <c r="B33" s="1">
        <v>45812</v>
      </c>
      <c r="C33" t="s">
        <v>177</v>
      </c>
      <c r="D33" t="s">
        <v>178</v>
      </c>
      <c r="E33" t="s">
        <v>43</v>
      </c>
      <c r="F33" t="s">
        <v>28</v>
      </c>
      <c r="G33" t="s">
        <v>36</v>
      </c>
      <c r="H33" t="s">
        <v>37</v>
      </c>
      <c r="I33">
        <v>4</v>
      </c>
      <c r="J33">
        <v>6500</v>
      </c>
      <c r="K33">
        <v>10</v>
      </c>
      <c r="L33">
        <v>23400</v>
      </c>
      <c r="M33">
        <v>3510</v>
      </c>
      <c r="N33" t="s">
        <v>30</v>
      </c>
      <c r="O33" t="s">
        <v>31</v>
      </c>
    </row>
    <row r="34" spans="1:15" x14ac:dyDescent="0.35">
      <c r="A34" t="s">
        <v>179</v>
      </c>
      <c r="B34" s="1">
        <v>45904</v>
      </c>
      <c r="C34" t="s">
        <v>180</v>
      </c>
      <c r="D34" t="s">
        <v>181</v>
      </c>
      <c r="E34" t="s">
        <v>18</v>
      </c>
      <c r="F34" t="s">
        <v>44</v>
      </c>
      <c r="G34" t="s">
        <v>45</v>
      </c>
      <c r="H34" t="s">
        <v>46</v>
      </c>
      <c r="I34">
        <v>10</v>
      </c>
      <c r="J34">
        <v>1500</v>
      </c>
      <c r="K34">
        <v>5</v>
      </c>
      <c r="L34">
        <v>14250</v>
      </c>
      <c r="M34">
        <v>2137.5</v>
      </c>
      <c r="N34" t="s">
        <v>38</v>
      </c>
      <c r="O34" t="s">
        <v>39</v>
      </c>
    </row>
    <row r="35" spans="1:15" x14ac:dyDescent="0.35">
      <c r="A35" t="s">
        <v>182</v>
      </c>
      <c r="B35" s="1">
        <v>45995</v>
      </c>
      <c r="C35" t="s">
        <v>183</v>
      </c>
      <c r="D35" t="s">
        <v>184</v>
      </c>
      <c r="E35" t="s">
        <v>27</v>
      </c>
      <c r="F35" t="s">
        <v>19</v>
      </c>
      <c r="G35" t="s">
        <v>52</v>
      </c>
      <c r="H35" t="s">
        <v>53</v>
      </c>
      <c r="I35">
        <v>5</v>
      </c>
      <c r="J35">
        <v>1800</v>
      </c>
      <c r="K35">
        <v>10</v>
      </c>
      <c r="L35">
        <v>8100</v>
      </c>
      <c r="M35">
        <v>1215</v>
      </c>
      <c r="N35" t="s">
        <v>22</v>
      </c>
      <c r="O35" t="s">
        <v>47</v>
      </c>
    </row>
    <row r="36" spans="1:15" x14ac:dyDescent="0.35">
      <c r="A36" t="s">
        <v>185</v>
      </c>
      <c r="B36" t="s">
        <v>186</v>
      </c>
      <c r="C36" t="s">
        <v>187</v>
      </c>
      <c r="D36" t="s">
        <v>188</v>
      </c>
      <c r="E36" t="s">
        <v>35</v>
      </c>
      <c r="F36" t="s">
        <v>28</v>
      </c>
      <c r="G36" t="s">
        <v>60</v>
      </c>
      <c r="H36" t="s">
        <v>61</v>
      </c>
      <c r="I36">
        <v>4</v>
      </c>
      <c r="J36">
        <v>3500</v>
      </c>
      <c r="K36">
        <v>5</v>
      </c>
      <c r="L36">
        <v>13300</v>
      </c>
      <c r="M36">
        <v>1995</v>
      </c>
      <c r="N36" t="s">
        <v>54</v>
      </c>
      <c r="O36" t="s">
        <v>55</v>
      </c>
    </row>
    <row r="37" spans="1:15" x14ac:dyDescent="0.35">
      <c r="A37" t="s">
        <v>189</v>
      </c>
      <c r="B37" t="s">
        <v>190</v>
      </c>
      <c r="C37" t="s">
        <v>191</v>
      </c>
      <c r="D37" t="s">
        <v>192</v>
      </c>
      <c r="E37" t="s">
        <v>43</v>
      </c>
      <c r="F37" t="s">
        <v>19</v>
      </c>
      <c r="G37" t="s">
        <v>20</v>
      </c>
      <c r="H37" t="s">
        <v>29</v>
      </c>
      <c r="I37">
        <v>3</v>
      </c>
      <c r="J37">
        <v>1200</v>
      </c>
      <c r="K37">
        <v>0</v>
      </c>
      <c r="L37">
        <v>3600</v>
      </c>
      <c r="M37">
        <v>540</v>
      </c>
      <c r="N37" t="s">
        <v>30</v>
      </c>
      <c r="O37" t="s">
        <v>23</v>
      </c>
    </row>
    <row r="38" spans="1:15" x14ac:dyDescent="0.35">
      <c r="A38" t="s">
        <v>193</v>
      </c>
      <c r="B38" t="s">
        <v>194</v>
      </c>
      <c r="C38" t="s">
        <v>195</v>
      </c>
      <c r="D38" t="s">
        <v>196</v>
      </c>
      <c r="E38" t="s">
        <v>18</v>
      </c>
      <c r="F38" t="s">
        <v>28</v>
      </c>
      <c r="G38" t="s">
        <v>36</v>
      </c>
      <c r="H38" t="s">
        <v>71</v>
      </c>
      <c r="I38">
        <v>3</v>
      </c>
      <c r="J38">
        <v>5500</v>
      </c>
      <c r="K38">
        <v>10</v>
      </c>
      <c r="L38">
        <v>14850</v>
      </c>
      <c r="M38">
        <v>2227.5</v>
      </c>
      <c r="N38" t="s">
        <v>22</v>
      </c>
      <c r="O38" t="s">
        <v>31</v>
      </c>
    </row>
    <row r="39" spans="1:15" x14ac:dyDescent="0.35">
      <c r="A39" t="s">
        <v>197</v>
      </c>
      <c r="B39" t="s">
        <v>198</v>
      </c>
      <c r="C39" t="s">
        <v>199</v>
      </c>
      <c r="D39" t="s">
        <v>200</v>
      </c>
      <c r="E39" t="s">
        <v>27</v>
      </c>
      <c r="F39" t="s">
        <v>44</v>
      </c>
      <c r="G39" t="s">
        <v>45</v>
      </c>
      <c r="H39" t="s">
        <v>76</v>
      </c>
      <c r="I39">
        <v>8</v>
      </c>
      <c r="J39">
        <v>2200</v>
      </c>
      <c r="K39">
        <v>5</v>
      </c>
      <c r="L39">
        <v>16720</v>
      </c>
      <c r="M39">
        <v>2508</v>
      </c>
      <c r="N39" t="s">
        <v>38</v>
      </c>
      <c r="O39" t="s">
        <v>39</v>
      </c>
    </row>
    <row r="40" spans="1:15" x14ac:dyDescent="0.35">
      <c r="A40" t="s">
        <v>201</v>
      </c>
      <c r="B40" t="s">
        <v>202</v>
      </c>
      <c r="C40" t="s">
        <v>203</v>
      </c>
      <c r="D40" t="s">
        <v>204</v>
      </c>
      <c r="E40" t="s">
        <v>35</v>
      </c>
      <c r="F40" t="s">
        <v>19</v>
      </c>
      <c r="G40" t="s">
        <v>52</v>
      </c>
      <c r="H40" t="s">
        <v>81</v>
      </c>
      <c r="I40">
        <v>4</v>
      </c>
      <c r="J40">
        <v>4200</v>
      </c>
      <c r="K40">
        <v>10</v>
      </c>
      <c r="L40">
        <v>15120</v>
      </c>
      <c r="M40">
        <v>2268</v>
      </c>
      <c r="N40" t="s">
        <v>22</v>
      </c>
      <c r="O40" t="s">
        <v>47</v>
      </c>
    </row>
    <row r="41" spans="1:15" x14ac:dyDescent="0.35">
      <c r="A41" t="s">
        <v>205</v>
      </c>
      <c r="B41" t="s">
        <v>206</v>
      </c>
      <c r="C41" t="s">
        <v>207</v>
      </c>
      <c r="D41" t="s">
        <v>208</v>
      </c>
      <c r="E41" t="s">
        <v>43</v>
      </c>
      <c r="F41" t="s">
        <v>28</v>
      </c>
      <c r="G41" t="s">
        <v>60</v>
      </c>
      <c r="H41" t="s">
        <v>93</v>
      </c>
      <c r="I41">
        <v>3</v>
      </c>
      <c r="J41">
        <v>5000</v>
      </c>
      <c r="K41">
        <v>5</v>
      </c>
      <c r="L41">
        <v>14250</v>
      </c>
      <c r="M41">
        <v>2137.5</v>
      </c>
      <c r="N41" t="s">
        <v>54</v>
      </c>
      <c r="O41" t="s">
        <v>55</v>
      </c>
    </row>
    <row r="42" spans="1:15" x14ac:dyDescent="0.35">
      <c r="A42" t="s">
        <v>209</v>
      </c>
      <c r="B42" s="1">
        <v>45752</v>
      </c>
      <c r="C42" t="s">
        <v>210</v>
      </c>
      <c r="D42" t="s">
        <v>211</v>
      </c>
      <c r="E42" t="s">
        <v>18</v>
      </c>
      <c r="F42" t="s">
        <v>19</v>
      </c>
      <c r="G42" t="s">
        <v>20</v>
      </c>
      <c r="H42" t="s">
        <v>85</v>
      </c>
      <c r="I42">
        <v>8</v>
      </c>
      <c r="J42">
        <v>1600</v>
      </c>
      <c r="K42">
        <v>5</v>
      </c>
      <c r="L42">
        <v>12160</v>
      </c>
      <c r="M42">
        <v>1824</v>
      </c>
      <c r="N42" t="s">
        <v>22</v>
      </c>
      <c r="O42" t="s">
        <v>23</v>
      </c>
    </row>
    <row r="43" spans="1:15" x14ac:dyDescent="0.35">
      <c r="A43" t="s">
        <v>212</v>
      </c>
      <c r="B43" s="1">
        <v>45843</v>
      </c>
      <c r="C43" t="s">
        <v>213</v>
      </c>
      <c r="D43" t="s">
        <v>214</v>
      </c>
      <c r="E43" t="s">
        <v>27</v>
      </c>
      <c r="F43" t="s">
        <v>28</v>
      </c>
      <c r="G43" t="s">
        <v>36</v>
      </c>
      <c r="H43" t="s">
        <v>89</v>
      </c>
      <c r="I43">
        <v>2</v>
      </c>
      <c r="J43">
        <v>4800</v>
      </c>
      <c r="K43">
        <v>10</v>
      </c>
      <c r="L43">
        <v>8640</v>
      </c>
      <c r="M43">
        <v>1296</v>
      </c>
      <c r="N43" t="s">
        <v>30</v>
      </c>
      <c r="O43" t="s">
        <v>31</v>
      </c>
    </row>
    <row r="44" spans="1:15" x14ac:dyDescent="0.35">
      <c r="A44" t="s">
        <v>215</v>
      </c>
      <c r="B44" s="1">
        <v>45935</v>
      </c>
      <c r="C44" t="s">
        <v>216</v>
      </c>
      <c r="D44" t="s">
        <v>217</v>
      </c>
      <c r="E44" t="s">
        <v>35</v>
      </c>
      <c r="F44" t="s">
        <v>44</v>
      </c>
      <c r="G44" t="s">
        <v>45</v>
      </c>
      <c r="H44" t="s">
        <v>97</v>
      </c>
      <c r="I44">
        <v>12</v>
      </c>
      <c r="J44">
        <v>800</v>
      </c>
      <c r="K44">
        <v>5</v>
      </c>
      <c r="L44">
        <v>9120</v>
      </c>
      <c r="M44">
        <v>1368</v>
      </c>
      <c r="N44" t="s">
        <v>38</v>
      </c>
      <c r="O44" t="s">
        <v>39</v>
      </c>
    </row>
    <row r="45" spans="1:15" x14ac:dyDescent="0.35">
      <c r="A45" t="s">
        <v>218</v>
      </c>
      <c r="B45" t="s">
        <v>219</v>
      </c>
      <c r="C45" t="s">
        <v>220</v>
      </c>
      <c r="D45" t="s">
        <v>221</v>
      </c>
      <c r="E45" t="s">
        <v>43</v>
      </c>
      <c r="F45" t="s">
        <v>19</v>
      </c>
      <c r="G45" t="s">
        <v>52</v>
      </c>
      <c r="H45" t="s">
        <v>101</v>
      </c>
      <c r="I45">
        <v>2</v>
      </c>
      <c r="J45">
        <v>6000</v>
      </c>
      <c r="K45">
        <v>0</v>
      </c>
      <c r="L45">
        <v>12000</v>
      </c>
      <c r="M45">
        <v>1800</v>
      </c>
      <c r="N45" t="s">
        <v>22</v>
      </c>
      <c r="O45" t="s">
        <v>47</v>
      </c>
    </row>
    <row r="46" spans="1:15" x14ac:dyDescent="0.35">
      <c r="A46" t="s">
        <v>222</v>
      </c>
      <c r="B46" t="s">
        <v>223</v>
      </c>
      <c r="C46" t="s">
        <v>224</v>
      </c>
      <c r="D46" t="s">
        <v>225</v>
      </c>
      <c r="E46" t="s">
        <v>18</v>
      </c>
      <c r="F46" t="s">
        <v>28</v>
      </c>
      <c r="G46" t="s">
        <v>60</v>
      </c>
      <c r="H46" t="s">
        <v>121</v>
      </c>
      <c r="I46">
        <v>7</v>
      </c>
      <c r="J46">
        <v>1800</v>
      </c>
      <c r="K46">
        <v>10</v>
      </c>
      <c r="L46">
        <v>11340</v>
      </c>
      <c r="M46">
        <v>1701</v>
      </c>
      <c r="N46" t="s">
        <v>54</v>
      </c>
      <c r="O46" t="s">
        <v>55</v>
      </c>
    </row>
    <row r="47" spans="1:15" x14ac:dyDescent="0.35">
      <c r="A47" t="s">
        <v>226</v>
      </c>
      <c r="B47" t="s">
        <v>227</v>
      </c>
      <c r="C47" t="s">
        <v>228</v>
      </c>
      <c r="D47" t="s">
        <v>229</v>
      </c>
      <c r="E47" t="s">
        <v>27</v>
      </c>
      <c r="F47" t="s">
        <v>19</v>
      </c>
      <c r="G47" t="s">
        <v>20</v>
      </c>
      <c r="H47" t="s">
        <v>106</v>
      </c>
      <c r="I47">
        <v>5</v>
      </c>
      <c r="J47">
        <v>2500</v>
      </c>
      <c r="K47">
        <v>5</v>
      </c>
      <c r="L47">
        <v>11875</v>
      </c>
      <c r="M47">
        <v>1781.25</v>
      </c>
      <c r="N47" t="s">
        <v>22</v>
      </c>
      <c r="O47" t="s">
        <v>23</v>
      </c>
    </row>
    <row r="48" spans="1:15" x14ac:dyDescent="0.35">
      <c r="A48" t="s">
        <v>230</v>
      </c>
      <c r="B48" t="s">
        <v>231</v>
      </c>
      <c r="C48" t="s">
        <v>232</v>
      </c>
      <c r="D48" t="s">
        <v>233</v>
      </c>
      <c r="E48" t="s">
        <v>35</v>
      </c>
      <c r="F48" t="s">
        <v>28</v>
      </c>
      <c r="G48" t="s">
        <v>36</v>
      </c>
      <c r="H48" t="s">
        <v>111</v>
      </c>
      <c r="I48">
        <v>8</v>
      </c>
      <c r="J48">
        <v>2800</v>
      </c>
      <c r="K48">
        <v>10</v>
      </c>
      <c r="L48">
        <v>20160</v>
      </c>
      <c r="M48">
        <v>3024</v>
      </c>
      <c r="N48" t="s">
        <v>30</v>
      </c>
      <c r="O48" t="s">
        <v>31</v>
      </c>
    </row>
    <row r="49" spans="1:15" x14ac:dyDescent="0.35">
      <c r="A49" t="s">
        <v>234</v>
      </c>
      <c r="B49" t="s">
        <v>235</v>
      </c>
      <c r="C49" t="s">
        <v>236</v>
      </c>
      <c r="D49" t="s">
        <v>237</v>
      </c>
      <c r="E49" t="s">
        <v>43</v>
      </c>
      <c r="F49" t="s">
        <v>44</v>
      </c>
      <c r="G49" t="s">
        <v>45</v>
      </c>
      <c r="H49" t="s">
        <v>116</v>
      </c>
      <c r="I49">
        <v>6</v>
      </c>
      <c r="J49">
        <v>3200</v>
      </c>
      <c r="K49">
        <v>5</v>
      </c>
      <c r="L49">
        <v>18240</v>
      </c>
      <c r="M49">
        <v>2736</v>
      </c>
      <c r="N49" t="s">
        <v>38</v>
      </c>
      <c r="O49" t="s">
        <v>39</v>
      </c>
    </row>
    <row r="50" spans="1:15" x14ac:dyDescent="0.35">
      <c r="A50" t="s">
        <v>238</v>
      </c>
      <c r="B50" t="s">
        <v>239</v>
      </c>
      <c r="C50" t="s">
        <v>240</v>
      </c>
      <c r="D50" t="s">
        <v>241</v>
      </c>
      <c r="E50" t="s">
        <v>18</v>
      </c>
      <c r="F50" t="s">
        <v>19</v>
      </c>
      <c r="G50" t="s">
        <v>52</v>
      </c>
      <c r="H50" t="s">
        <v>126</v>
      </c>
      <c r="I50">
        <v>3</v>
      </c>
      <c r="J50">
        <v>8500</v>
      </c>
      <c r="K50">
        <v>10</v>
      </c>
      <c r="L50">
        <v>22950</v>
      </c>
      <c r="M50">
        <v>3442.5</v>
      </c>
      <c r="N50" t="s">
        <v>22</v>
      </c>
      <c r="O50" t="s">
        <v>47</v>
      </c>
    </row>
    <row r="51" spans="1:15" x14ac:dyDescent="0.35">
      <c r="A51" t="s">
        <v>242</v>
      </c>
      <c r="B51" t="s">
        <v>243</v>
      </c>
      <c r="C51" t="s">
        <v>244</v>
      </c>
      <c r="D51" t="s">
        <v>245</v>
      </c>
      <c r="E51" t="s">
        <v>27</v>
      </c>
      <c r="F51" t="s">
        <v>28</v>
      </c>
      <c r="G51" t="s">
        <v>60</v>
      </c>
      <c r="H51" t="s">
        <v>147</v>
      </c>
      <c r="I51">
        <v>5</v>
      </c>
      <c r="J51">
        <v>2400</v>
      </c>
      <c r="K51">
        <v>5</v>
      </c>
      <c r="L51">
        <v>11400</v>
      </c>
      <c r="M51">
        <v>1710</v>
      </c>
      <c r="N51" t="s">
        <v>54</v>
      </c>
      <c r="O51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38C5-55CC-4E3A-8675-70A64F4C8D8A}">
  <dimension ref="A1:O5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2" max="2" width="10.08984375" customWidth="1"/>
    <col min="3" max="3" width="8.7265625" style="6"/>
    <col min="4" max="4" width="14.36328125" style="6" customWidth="1"/>
    <col min="5" max="5" width="6.1796875" style="6" customWidth="1"/>
    <col min="6" max="6" width="13.08984375" style="6" customWidth="1"/>
    <col min="7" max="7" width="15.1796875" style="6" customWidth="1"/>
    <col min="8" max="8" width="13.7265625" style="6" customWidth="1"/>
    <col min="9" max="10" width="8.7265625" style="9"/>
    <col min="11" max="11" width="8.90625" style="8" bestFit="1" customWidth="1"/>
    <col min="12" max="12" width="11.1796875" style="10" bestFit="1" customWidth="1"/>
    <col min="13" max="13" width="8.7265625" style="11"/>
    <col min="14" max="14" width="11.26953125" style="6" customWidth="1"/>
    <col min="15" max="15" width="8.7265625" style="6"/>
  </cols>
  <sheetData>
    <row r="1" spans="1:15" ht="32" x14ac:dyDescent="0.4">
      <c r="A1" s="2" t="s">
        <v>0</v>
      </c>
      <c r="B1" s="2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7" t="s">
        <v>7</v>
      </c>
      <c r="I1" s="25" t="s">
        <v>8</v>
      </c>
      <c r="J1" s="26" t="s">
        <v>9</v>
      </c>
      <c r="K1" s="27" t="s">
        <v>246</v>
      </c>
      <c r="L1" s="28" t="s">
        <v>11</v>
      </c>
      <c r="M1" s="29" t="s">
        <v>12</v>
      </c>
      <c r="N1" s="4" t="s">
        <v>13</v>
      </c>
      <c r="O1" s="4" t="s">
        <v>14</v>
      </c>
    </row>
    <row r="2" spans="1:15" x14ac:dyDescent="0.35">
      <c r="A2" s="3" t="s">
        <v>15</v>
      </c>
      <c r="B2" s="30">
        <v>45778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31">
        <v>3</v>
      </c>
      <c r="J2" s="32">
        <v>850</v>
      </c>
      <c r="K2" s="33">
        <v>0.05</v>
      </c>
      <c r="L2" s="34">
        <v>2422.5</v>
      </c>
      <c r="M2" s="35">
        <v>363.38</v>
      </c>
      <c r="N2" s="5" t="s">
        <v>22</v>
      </c>
      <c r="O2" s="5" t="s">
        <v>23</v>
      </c>
    </row>
    <row r="3" spans="1:15" x14ac:dyDescent="0.35">
      <c r="A3" s="3" t="s">
        <v>24</v>
      </c>
      <c r="B3" s="30">
        <v>45779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20</v>
      </c>
      <c r="H3" s="5" t="s">
        <v>29</v>
      </c>
      <c r="I3" s="31">
        <v>5</v>
      </c>
      <c r="J3" s="32">
        <v>1200</v>
      </c>
      <c r="K3" s="33">
        <v>0.1</v>
      </c>
      <c r="L3" s="34">
        <v>5400</v>
      </c>
      <c r="M3" s="35">
        <v>810</v>
      </c>
      <c r="N3" s="5" t="s">
        <v>30</v>
      </c>
      <c r="O3" s="5" t="s">
        <v>31</v>
      </c>
    </row>
    <row r="4" spans="1:15" x14ac:dyDescent="0.35">
      <c r="A4" s="3" t="s">
        <v>32</v>
      </c>
      <c r="B4" s="30">
        <v>45780</v>
      </c>
      <c r="C4" s="5" t="s">
        <v>33</v>
      </c>
      <c r="D4" s="5" t="s">
        <v>34</v>
      </c>
      <c r="E4" s="5" t="s">
        <v>35</v>
      </c>
      <c r="F4" s="5" t="s">
        <v>19</v>
      </c>
      <c r="G4" s="5" t="s">
        <v>36</v>
      </c>
      <c r="H4" s="5" t="s">
        <v>37</v>
      </c>
      <c r="I4" s="31">
        <v>2</v>
      </c>
      <c r="J4" s="32">
        <v>6500</v>
      </c>
      <c r="K4" s="33">
        <v>0.05</v>
      </c>
      <c r="L4" s="34">
        <v>12350</v>
      </c>
      <c r="M4" s="35">
        <v>1852.5</v>
      </c>
      <c r="N4" s="5" t="s">
        <v>38</v>
      </c>
      <c r="O4" s="5" t="s">
        <v>39</v>
      </c>
    </row>
    <row r="5" spans="1:15" x14ac:dyDescent="0.35">
      <c r="A5" s="3" t="s">
        <v>40</v>
      </c>
      <c r="B5" s="30">
        <v>45781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31">
        <v>8</v>
      </c>
      <c r="J5" s="32">
        <v>1500</v>
      </c>
      <c r="K5" s="33">
        <v>0.1</v>
      </c>
      <c r="L5" s="34">
        <v>10800</v>
      </c>
      <c r="M5" s="35">
        <v>1620</v>
      </c>
      <c r="N5" s="5" t="s">
        <v>22</v>
      </c>
      <c r="O5" s="5" t="s">
        <v>47</v>
      </c>
    </row>
    <row r="6" spans="1:15" x14ac:dyDescent="0.35">
      <c r="A6" s="3" t="s">
        <v>48</v>
      </c>
      <c r="B6" s="30">
        <v>45782</v>
      </c>
      <c r="C6" s="5" t="s">
        <v>50</v>
      </c>
      <c r="D6" s="5" t="s">
        <v>51</v>
      </c>
      <c r="E6" s="5" t="s">
        <v>18</v>
      </c>
      <c r="F6" s="5" t="s">
        <v>19</v>
      </c>
      <c r="G6" s="5" t="s">
        <v>52</v>
      </c>
      <c r="H6" s="5" t="s">
        <v>53</v>
      </c>
      <c r="I6" s="31">
        <v>4</v>
      </c>
      <c r="J6" s="32">
        <v>1800</v>
      </c>
      <c r="K6" s="33">
        <v>0.05</v>
      </c>
      <c r="L6" s="34">
        <v>6840</v>
      </c>
      <c r="M6" s="35">
        <v>1026</v>
      </c>
      <c r="N6" s="5" t="s">
        <v>54</v>
      </c>
      <c r="O6" s="5" t="s">
        <v>55</v>
      </c>
    </row>
    <row r="7" spans="1:15" x14ac:dyDescent="0.35">
      <c r="A7" s="3" t="s">
        <v>56</v>
      </c>
      <c r="B7" s="30">
        <v>45783</v>
      </c>
      <c r="C7" s="5" t="s">
        <v>58</v>
      </c>
      <c r="D7" s="5" t="s">
        <v>59</v>
      </c>
      <c r="E7" s="5" t="s">
        <v>27</v>
      </c>
      <c r="F7" s="5" t="s">
        <v>28</v>
      </c>
      <c r="G7" s="5" t="s">
        <v>60</v>
      </c>
      <c r="H7" s="5" t="s">
        <v>61</v>
      </c>
      <c r="I7" s="31">
        <v>3</v>
      </c>
      <c r="J7" s="32">
        <v>3500</v>
      </c>
      <c r="K7" s="33">
        <v>0.1</v>
      </c>
      <c r="L7" s="34">
        <v>9450</v>
      </c>
      <c r="M7" s="35">
        <v>1417.5</v>
      </c>
      <c r="N7" s="5" t="s">
        <v>22</v>
      </c>
      <c r="O7" s="5" t="s">
        <v>23</v>
      </c>
    </row>
    <row r="8" spans="1:15" x14ac:dyDescent="0.35">
      <c r="A8" s="3" t="s">
        <v>62</v>
      </c>
      <c r="B8" s="30">
        <v>45784</v>
      </c>
      <c r="C8" s="5" t="s">
        <v>64</v>
      </c>
      <c r="D8" s="5" t="s">
        <v>65</v>
      </c>
      <c r="E8" s="5" t="s">
        <v>35</v>
      </c>
      <c r="F8" s="5" t="s">
        <v>19</v>
      </c>
      <c r="G8" s="5" t="s">
        <v>20</v>
      </c>
      <c r="H8" s="5" t="s">
        <v>66</v>
      </c>
      <c r="I8" s="31">
        <v>10</v>
      </c>
      <c r="J8" s="32">
        <v>450</v>
      </c>
      <c r="K8" s="33">
        <v>0</v>
      </c>
      <c r="L8" s="34">
        <v>4500</v>
      </c>
      <c r="M8" s="35">
        <v>675</v>
      </c>
      <c r="N8" s="5" t="s">
        <v>30</v>
      </c>
      <c r="O8" s="5" t="s">
        <v>31</v>
      </c>
    </row>
    <row r="9" spans="1:15" x14ac:dyDescent="0.35">
      <c r="A9" s="3" t="s">
        <v>67</v>
      </c>
      <c r="B9" s="30">
        <v>45785</v>
      </c>
      <c r="C9" s="5" t="s">
        <v>69</v>
      </c>
      <c r="D9" s="5" t="s">
        <v>70</v>
      </c>
      <c r="E9" s="5" t="s">
        <v>43</v>
      </c>
      <c r="F9" s="5" t="s">
        <v>28</v>
      </c>
      <c r="G9" s="5" t="s">
        <v>36</v>
      </c>
      <c r="H9" s="5" t="s">
        <v>71</v>
      </c>
      <c r="I9" s="31">
        <v>2</v>
      </c>
      <c r="J9" s="32">
        <v>5500</v>
      </c>
      <c r="K9" s="33">
        <v>0.05</v>
      </c>
      <c r="L9" s="34">
        <v>10450</v>
      </c>
      <c r="M9" s="35">
        <v>1567.5</v>
      </c>
      <c r="N9" s="5" t="s">
        <v>38</v>
      </c>
      <c r="O9" s="5" t="s">
        <v>39</v>
      </c>
    </row>
    <row r="10" spans="1:15" x14ac:dyDescent="0.35">
      <c r="A10" s="3" t="s">
        <v>72</v>
      </c>
      <c r="B10" s="30">
        <v>45786</v>
      </c>
      <c r="C10" s="5" t="s">
        <v>74</v>
      </c>
      <c r="D10" s="5" t="s">
        <v>75</v>
      </c>
      <c r="E10" s="5" t="s">
        <v>18</v>
      </c>
      <c r="F10" s="5" t="s">
        <v>44</v>
      </c>
      <c r="G10" s="5" t="s">
        <v>45</v>
      </c>
      <c r="H10" s="5" t="s">
        <v>76</v>
      </c>
      <c r="I10" s="31">
        <v>6</v>
      </c>
      <c r="J10" s="32">
        <v>2200</v>
      </c>
      <c r="K10" s="33">
        <v>0.1</v>
      </c>
      <c r="L10" s="34">
        <v>11880</v>
      </c>
      <c r="M10" s="35">
        <v>1782</v>
      </c>
      <c r="N10" s="5" t="s">
        <v>22</v>
      </c>
      <c r="O10" s="5" t="s">
        <v>47</v>
      </c>
    </row>
    <row r="11" spans="1:15" x14ac:dyDescent="0.35">
      <c r="A11" s="3" t="s">
        <v>77</v>
      </c>
      <c r="B11" s="30">
        <v>45787</v>
      </c>
      <c r="C11" s="5" t="s">
        <v>79</v>
      </c>
      <c r="D11" s="5" t="s">
        <v>80</v>
      </c>
      <c r="E11" s="5" t="s">
        <v>27</v>
      </c>
      <c r="F11" s="5" t="s">
        <v>19</v>
      </c>
      <c r="G11" s="5" t="s">
        <v>52</v>
      </c>
      <c r="H11" s="5" t="s">
        <v>81</v>
      </c>
      <c r="I11" s="31">
        <v>2</v>
      </c>
      <c r="J11" s="32">
        <v>4200</v>
      </c>
      <c r="K11" s="33">
        <v>0.05</v>
      </c>
      <c r="L11" s="34">
        <v>7980</v>
      </c>
      <c r="M11" s="35">
        <v>1197</v>
      </c>
      <c r="N11" s="5" t="s">
        <v>54</v>
      </c>
      <c r="O11" s="5" t="s">
        <v>55</v>
      </c>
    </row>
    <row r="12" spans="1:15" x14ac:dyDescent="0.35">
      <c r="A12" s="3" t="s">
        <v>82</v>
      </c>
      <c r="B12" s="30">
        <v>45788</v>
      </c>
      <c r="C12" s="5" t="s">
        <v>83</v>
      </c>
      <c r="D12" s="5" t="s">
        <v>84</v>
      </c>
      <c r="E12" s="5" t="s">
        <v>35</v>
      </c>
      <c r="F12" s="5" t="s">
        <v>28</v>
      </c>
      <c r="G12" s="5" t="s">
        <v>20</v>
      </c>
      <c r="H12" s="5" t="s">
        <v>85</v>
      </c>
      <c r="I12" s="31">
        <v>5</v>
      </c>
      <c r="J12" s="32">
        <v>1600</v>
      </c>
      <c r="K12" s="33">
        <v>0.05</v>
      </c>
      <c r="L12" s="34">
        <v>7600</v>
      </c>
      <c r="M12" s="35">
        <v>1140</v>
      </c>
      <c r="N12" s="5" t="s">
        <v>22</v>
      </c>
      <c r="O12" s="5" t="s">
        <v>23</v>
      </c>
    </row>
    <row r="13" spans="1:15" x14ac:dyDescent="0.35">
      <c r="A13" s="3" t="s">
        <v>86</v>
      </c>
      <c r="B13" s="30">
        <v>45789</v>
      </c>
      <c r="C13" s="5" t="s">
        <v>87</v>
      </c>
      <c r="D13" s="5" t="s">
        <v>88</v>
      </c>
      <c r="E13" s="5" t="s">
        <v>43</v>
      </c>
      <c r="F13" s="5" t="s">
        <v>19</v>
      </c>
      <c r="G13" s="5" t="s">
        <v>36</v>
      </c>
      <c r="H13" s="5" t="s">
        <v>89</v>
      </c>
      <c r="I13" s="31">
        <v>3</v>
      </c>
      <c r="J13" s="32">
        <v>4800</v>
      </c>
      <c r="K13" s="33">
        <v>0.1</v>
      </c>
      <c r="L13" s="34">
        <v>12960</v>
      </c>
      <c r="M13" s="35">
        <v>1944</v>
      </c>
      <c r="N13" s="5" t="s">
        <v>30</v>
      </c>
      <c r="O13" s="5" t="s">
        <v>31</v>
      </c>
    </row>
    <row r="14" spans="1:15" x14ac:dyDescent="0.35">
      <c r="A14" s="3" t="s">
        <v>90</v>
      </c>
      <c r="B14" s="30">
        <v>45790</v>
      </c>
      <c r="C14" s="5" t="s">
        <v>91</v>
      </c>
      <c r="D14" s="5" t="s">
        <v>92</v>
      </c>
      <c r="E14" s="5" t="s">
        <v>18</v>
      </c>
      <c r="F14" s="5" t="s">
        <v>28</v>
      </c>
      <c r="G14" s="5" t="s">
        <v>60</v>
      </c>
      <c r="H14" s="5" t="s">
        <v>93</v>
      </c>
      <c r="I14" s="31">
        <v>2</v>
      </c>
      <c r="J14" s="32">
        <v>5000</v>
      </c>
      <c r="K14" s="33">
        <v>0.05</v>
      </c>
      <c r="L14" s="34">
        <v>9500</v>
      </c>
      <c r="M14" s="35">
        <v>1425</v>
      </c>
      <c r="N14" s="5" t="s">
        <v>38</v>
      </c>
      <c r="O14" s="5" t="s">
        <v>39</v>
      </c>
    </row>
    <row r="15" spans="1:15" x14ac:dyDescent="0.35">
      <c r="A15" s="3" t="s">
        <v>94</v>
      </c>
      <c r="B15" s="30">
        <v>45791</v>
      </c>
      <c r="C15" s="5" t="s">
        <v>95</v>
      </c>
      <c r="D15" s="5" t="s">
        <v>96</v>
      </c>
      <c r="E15" s="5" t="s">
        <v>27</v>
      </c>
      <c r="F15" s="5" t="s">
        <v>19</v>
      </c>
      <c r="G15" s="5" t="s">
        <v>45</v>
      </c>
      <c r="H15" s="5" t="s">
        <v>97</v>
      </c>
      <c r="I15" s="31">
        <v>10</v>
      </c>
      <c r="J15" s="32">
        <v>800</v>
      </c>
      <c r="K15" s="33">
        <v>0.1</v>
      </c>
      <c r="L15" s="34">
        <v>7200</v>
      </c>
      <c r="M15" s="35">
        <v>1080</v>
      </c>
      <c r="N15" s="5" t="s">
        <v>22</v>
      </c>
      <c r="O15" s="5" t="s">
        <v>47</v>
      </c>
    </row>
    <row r="16" spans="1:15" x14ac:dyDescent="0.35">
      <c r="A16" s="3" t="s">
        <v>98</v>
      </c>
      <c r="B16" s="30">
        <v>45792</v>
      </c>
      <c r="C16" s="5" t="s">
        <v>99</v>
      </c>
      <c r="D16" s="5" t="s">
        <v>100</v>
      </c>
      <c r="E16" s="5" t="s">
        <v>35</v>
      </c>
      <c r="F16" s="5" t="s">
        <v>44</v>
      </c>
      <c r="G16" s="5" t="s">
        <v>52</v>
      </c>
      <c r="H16" s="5" t="s">
        <v>101</v>
      </c>
      <c r="I16" s="31">
        <v>3</v>
      </c>
      <c r="J16" s="32">
        <v>6000</v>
      </c>
      <c r="K16" s="33">
        <v>0.05</v>
      </c>
      <c r="L16" s="34">
        <v>17100</v>
      </c>
      <c r="M16" s="35">
        <v>2565</v>
      </c>
      <c r="N16" s="5" t="s">
        <v>54</v>
      </c>
      <c r="O16" s="5" t="s">
        <v>55</v>
      </c>
    </row>
    <row r="17" spans="1:15" x14ac:dyDescent="0.35">
      <c r="A17" s="3" t="s">
        <v>102</v>
      </c>
      <c r="B17" s="30">
        <v>45793</v>
      </c>
      <c r="C17" s="5" t="s">
        <v>104</v>
      </c>
      <c r="D17" s="5" t="s">
        <v>105</v>
      </c>
      <c r="E17" s="5" t="s">
        <v>43</v>
      </c>
      <c r="F17" s="5" t="s">
        <v>28</v>
      </c>
      <c r="G17" s="5" t="s">
        <v>20</v>
      </c>
      <c r="H17" s="5" t="s">
        <v>106</v>
      </c>
      <c r="I17" s="31">
        <v>4</v>
      </c>
      <c r="J17" s="32">
        <v>2500</v>
      </c>
      <c r="K17" s="33">
        <v>0.1</v>
      </c>
      <c r="L17" s="34">
        <v>9000</v>
      </c>
      <c r="M17" s="35">
        <v>1350</v>
      </c>
      <c r="N17" s="5" t="s">
        <v>30</v>
      </c>
      <c r="O17" s="5" t="s">
        <v>23</v>
      </c>
    </row>
    <row r="18" spans="1:15" x14ac:dyDescent="0.35">
      <c r="A18" s="3" t="s">
        <v>107</v>
      </c>
      <c r="B18" s="30">
        <v>45794</v>
      </c>
      <c r="C18" s="5" t="s">
        <v>109</v>
      </c>
      <c r="D18" s="5" t="s">
        <v>110</v>
      </c>
      <c r="E18" s="5" t="s">
        <v>18</v>
      </c>
      <c r="F18" s="5" t="s">
        <v>19</v>
      </c>
      <c r="G18" s="5" t="s">
        <v>36</v>
      </c>
      <c r="H18" s="5" t="s">
        <v>111</v>
      </c>
      <c r="I18" s="31">
        <v>6</v>
      </c>
      <c r="J18" s="32">
        <v>2800</v>
      </c>
      <c r="K18" s="33">
        <v>0.05</v>
      </c>
      <c r="L18" s="34">
        <v>15960</v>
      </c>
      <c r="M18" s="35">
        <v>2394</v>
      </c>
      <c r="N18" s="5" t="s">
        <v>22</v>
      </c>
      <c r="O18" s="5" t="s">
        <v>31</v>
      </c>
    </row>
    <row r="19" spans="1:15" x14ac:dyDescent="0.35">
      <c r="A19" s="3" t="s">
        <v>112</v>
      </c>
      <c r="B19" s="30">
        <v>45795</v>
      </c>
      <c r="C19" s="5" t="s">
        <v>114</v>
      </c>
      <c r="D19" s="5" t="s">
        <v>115</v>
      </c>
      <c r="E19" s="5" t="s">
        <v>27</v>
      </c>
      <c r="F19" s="5" t="s">
        <v>44</v>
      </c>
      <c r="G19" s="5" t="s">
        <v>45</v>
      </c>
      <c r="H19" s="5" t="s">
        <v>116</v>
      </c>
      <c r="I19" s="31">
        <v>4</v>
      </c>
      <c r="J19" s="32">
        <v>3200</v>
      </c>
      <c r="K19" s="33">
        <v>0.1</v>
      </c>
      <c r="L19" s="34">
        <v>11520</v>
      </c>
      <c r="M19" s="35">
        <v>1728</v>
      </c>
      <c r="N19" s="5" t="s">
        <v>38</v>
      </c>
      <c r="O19" s="5" t="s">
        <v>39</v>
      </c>
    </row>
    <row r="20" spans="1:15" x14ac:dyDescent="0.35">
      <c r="A20" s="3" t="s">
        <v>117</v>
      </c>
      <c r="B20" s="30">
        <v>45796</v>
      </c>
      <c r="C20" s="5" t="s">
        <v>119</v>
      </c>
      <c r="D20" s="5" t="s">
        <v>120</v>
      </c>
      <c r="E20" s="5" t="s">
        <v>35</v>
      </c>
      <c r="F20" s="5" t="s">
        <v>19</v>
      </c>
      <c r="G20" s="5" t="s">
        <v>60</v>
      </c>
      <c r="H20" s="5" t="s">
        <v>121</v>
      </c>
      <c r="I20" s="31">
        <v>5</v>
      </c>
      <c r="J20" s="32">
        <v>1800</v>
      </c>
      <c r="K20" s="33">
        <v>0.05</v>
      </c>
      <c r="L20" s="34">
        <v>8550</v>
      </c>
      <c r="M20" s="35">
        <v>1282.5</v>
      </c>
      <c r="N20" s="5" t="s">
        <v>22</v>
      </c>
      <c r="O20" s="5" t="s">
        <v>47</v>
      </c>
    </row>
    <row r="21" spans="1:15" x14ac:dyDescent="0.35">
      <c r="A21" s="3" t="s">
        <v>122</v>
      </c>
      <c r="B21" s="30">
        <v>45797</v>
      </c>
      <c r="C21" s="5" t="s">
        <v>124</v>
      </c>
      <c r="D21" s="5" t="s">
        <v>125</v>
      </c>
      <c r="E21" s="5" t="s">
        <v>43</v>
      </c>
      <c r="F21" s="5" t="s">
        <v>28</v>
      </c>
      <c r="G21" s="5" t="s">
        <v>52</v>
      </c>
      <c r="H21" s="5" t="s">
        <v>126</v>
      </c>
      <c r="I21" s="31">
        <v>2</v>
      </c>
      <c r="J21" s="32">
        <v>8500</v>
      </c>
      <c r="K21" s="33">
        <v>0.1</v>
      </c>
      <c r="L21" s="34">
        <v>15300</v>
      </c>
      <c r="M21" s="35">
        <v>2295</v>
      </c>
      <c r="N21" s="5" t="s">
        <v>54</v>
      </c>
      <c r="O21" s="5" t="s">
        <v>55</v>
      </c>
    </row>
    <row r="22" spans="1:15" x14ac:dyDescent="0.35">
      <c r="A22" s="3" t="s">
        <v>127</v>
      </c>
      <c r="B22" s="30">
        <v>45798</v>
      </c>
      <c r="C22" s="5" t="s">
        <v>128</v>
      </c>
      <c r="D22" s="5" t="s">
        <v>129</v>
      </c>
      <c r="E22" s="5" t="s">
        <v>18</v>
      </c>
      <c r="F22" s="5" t="s">
        <v>19</v>
      </c>
      <c r="G22" s="5" t="s">
        <v>20</v>
      </c>
      <c r="H22" s="5" t="s">
        <v>130</v>
      </c>
      <c r="I22" s="31">
        <v>3</v>
      </c>
      <c r="J22" s="32">
        <v>4500</v>
      </c>
      <c r="K22" s="33">
        <v>0.05</v>
      </c>
      <c r="L22" s="34">
        <v>12825</v>
      </c>
      <c r="M22" s="35">
        <v>1923.75</v>
      </c>
      <c r="N22" s="5" t="s">
        <v>22</v>
      </c>
      <c r="O22" s="5" t="s">
        <v>23</v>
      </c>
    </row>
    <row r="23" spans="1:15" x14ac:dyDescent="0.35">
      <c r="A23" s="3" t="s">
        <v>131</v>
      </c>
      <c r="B23" s="30">
        <v>45799</v>
      </c>
      <c r="C23" s="5" t="s">
        <v>132</v>
      </c>
      <c r="D23" s="5" t="s">
        <v>133</v>
      </c>
      <c r="E23" s="5" t="s">
        <v>27</v>
      </c>
      <c r="F23" s="5" t="s">
        <v>28</v>
      </c>
      <c r="G23" s="5" t="s">
        <v>36</v>
      </c>
      <c r="H23" s="5" t="s">
        <v>134</v>
      </c>
      <c r="I23" s="31">
        <v>2</v>
      </c>
      <c r="J23" s="32">
        <v>9000</v>
      </c>
      <c r="K23" s="33">
        <v>0.1</v>
      </c>
      <c r="L23" s="34">
        <v>16200</v>
      </c>
      <c r="M23" s="35">
        <v>2430</v>
      </c>
      <c r="N23" s="5" t="s">
        <v>30</v>
      </c>
      <c r="O23" s="5" t="s">
        <v>31</v>
      </c>
    </row>
    <row r="24" spans="1:15" x14ac:dyDescent="0.35">
      <c r="A24" s="3" t="s">
        <v>135</v>
      </c>
      <c r="B24" s="30">
        <v>45800</v>
      </c>
      <c r="C24" s="5" t="s">
        <v>136</v>
      </c>
      <c r="D24" s="5" t="s">
        <v>137</v>
      </c>
      <c r="E24" s="5" t="s">
        <v>35</v>
      </c>
      <c r="F24" s="5" t="s">
        <v>44</v>
      </c>
      <c r="G24" s="5" t="s">
        <v>45</v>
      </c>
      <c r="H24" s="5" t="s">
        <v>138</v>
      </c>
      <c r="I24" s="31">
        <v>7</v>
      </c>
      <c r="J24" s="32">
        <v>1800</v>
      </c>
      <c r="K24" s="33">
        <v>0.05</v>
      </c>
      <c r="L24" s="34">
        <v>11970</v>
      </c>
      <c r="M24" s="35">
        <v>1795.5</v>
      </c>
      <c r="N24" s="5" t="s">
        <v>38</v>
      </c>
      <c r="O24" s="5" t="s">
        <v>39</v>
      </c>
    </row>
    <row r="25" spans="1:15" x14ac:dyDescent="0.35">
      <c r="A25" s="3" t="s">
        <v>139</v>
      </c>
      <c r="B25" s="30">
        <v>45801</v>
      </c>
      <c r="C25" s="5" t="s">
        <v>140</v>
      </c>
      <c r="D25" s="5" t="s">
        <v>141</v>
      </c>
      <c r="E25" s="5" t="s">
        <v>43</v>
      </c>
      <c r="F25" s="5" t="s">
        <v>19</v>
      </c>
      <c r="G25" s="5" t="s">
        <v>52</v>
      </c>
      <c r="H25" s="5" t="s">
        <v>142</v>
      </c>
      <c r="I25" s="31">
        <v>5</v>
      </c>
      <c r="J25" s="32">
        <v>1400</v>
      </c>
      <c r="K25" s="33">
        <v>0</v>
      </c>
      <c r="L25" s="34">
        <v>7000</v>
      </c>
      <c r="M25" s="35">
        <v>1050</v>
      </c>
      <c r="N25" s="5" t="s">
        <v>22</v>
      </c>
      <c r="O25" s="5" t="s">
        <v>47</v>
      </c>
    </row>
    <row r="26" spans="1:15" x14ac:dyDescent="0.35">
      <c r="A26" s="3" t="s">
        <v>143</v>
      </c>
      <c r="B26" s="30">
        <v>45802</v>
      </c>
      <c r="C26" s="5" t="s">
        <v>145</v>
      </c>
      <c r="D26" s="5" t="s">
        <v>146</v>
      </c>
      <c r="E26" s="5" t="s">
        <v>18</v>
      </c>
      <c r="F26" s="5" t="s">
        <v>28</v>
      </c>
      <c r="G26" s="5" t="s">
        <v>60</v>
      </c>
      <c r="H26" s="5" t="s">
        <v>147</v>
      </c>
      <c r="I26" s="31">
        <v>4</v>
      </c>
      <c r="J26" s="32">
        <v>2400</v>
      </c>
      <c r="K26" s="33">
        <v>0.1</v>
      </c>
      <c r="L26" s="34">
        <v>8640</v>
      </c>
      <c r="M26" s="35">
        <v>1296</v>
      </c>
      <c r="N26" s="5" t="s">
        <v>54</v>
      </c>
      <c r="O26" s="5" t="s">
        <v>55</v>
      </c>
    </row>
    <row r="27" spans="1:15" x14ac:dyDescent="0.35">
      <c r="A27" s="3" t="s">
        <v>148</v>
      </c>
      <c r="B27" s="30">
        <v>45803</v>
      </c>
      <c r="C27" s="5" t="s">
        <v>150</v>
      </c>
      <c r="D27" s="5" t="s">
        <v>151</v>
      </c>
      <c r="E27" s="5" t="s">
        <v>27</v>
      </c>
      <c r="F27" s="5" t="s">
        <v>19</v>
      </c>
      <c r="G27" s="5" t="s">
        <v>20</v>
      </c>
      <c r="H27" s="5" t="s">
        <v>152</v>
      </c>
      <c r="I27" s="31">
        <v>3</v>
      </c>
      <c r="J27" s="32">
        <v>3000</v>
      </c>
      <c r="K27" s="33">
        <v>0.05</v>
      </c>
      <c r="L27" s="34">
        <v>8550</v>
      </c>
      <c r="M27" s="35">
        <v>1282.5</v>
      </c>
      <c r="N27" s="5" t="s">
        <v>22</v>
      </c>
      <c r="O27" s="5" t="s">
        <v>23</v>
      </c>
    </row>
    <row r="28" spans="1:15" x14ac:dyDescent="0.35">
      <c r="A28" s="3" t="s">
        <v>153</v>
      </c>
      <c r="B28" s="30">
        <v>45804</v>
      </c>
      <c r="C28" s="5" t="s">
        <v>155</v>
      </c>
      <c r="D28" s="5" t="s">
        <v>156</v>
      </c>
      <c r="E28" s="5" t="s">
        <v>35</v>
      </c>
      <c r="F28" s="5" t="s">
        <v>28</v>
      </c>
      <c r="G28" s="5" t="s">
        <v>36</v>
      </c>
      <c r="H28" s="5" t="s">
        <v>157</v>
      </c>
      <c r="I28" s="31">
        <v>1</v>
      </c>
      <c r="J28" s="32">
        <v>22000</v>
      </c>
      <c r="K28" s="33">
        <v>0.1</v>
      </c>
      <c r="L28" s="34">
        <v>19800</v>
      </c>
      <c r="M28" s="35">
        <v>2970</v>
      </c>
      <c r="N28" s="5" t="s">
        <v>30</v>
      </c>
      <c r="O28" s="5" t="s">
        <v>31</v>
      </c>
    </row>
    <row r="29" spans="1:15" x14ac:dyDescent="0.35">
      <c r="A29" s="3" t="s">
        <v>158</v>
      </c>
      <c r="B29" s="30">
        <v>45805</v>
      </c>
      <c r="C29" s="5" t="s">
        <v>160</v>
      </c>
      <c r="D29" s="5" t="s">
        <v>161</v>
      </c>
      <c r="E29" s="5" t="s">
        <v>43</v>
      </c>
      <c r="F29" s="5" t="s">
        <v>44</v>
      </c>
      <c r="G29" s="5" t="s">
        <v>45</v>
      </c>
      <c r="H29" s="5" t="s">
        <v>162</v>
      </c>
      <c r="I29" s="31">
        <v>5</v>
      </c>
      <c r="J29" s="32">
        <v>3500</v>
      </c>
      <c r="K29" s="33">
        <v>0.05</v>
      </c>
      <c r="L29" s="34">
        <v>16625</v>
      </c>
      <c r="M29" s="35">
        <v>2493.75</v>
      </c>
      <c r="N29" s="5" t="s">
        <v>38</v>
      </c>
      <c r="O29" s="5" t="s">
        <v>39</v>
      </c>
    </row>
    <row r="30" spans="1:15" x14ac:dyDescent="0.35">
      <c r="A30" s="3" t="s">
        <v>163</v>
      </c>
      <c r="B30" s="30">
        <v>45806</v>
      </c>
      <c r="C30" s="5" t="s">
        <v>165</v>
      </c>
      <c r="D30" s="5" t="s">
        <v>166</v>
      </c>
      <c r="E30" s="5" t="s">
        <v>18</v>
      </c>
      <c r="F30" s="5" t="s">
        <v>19</v>
      </c>
      <c r="G30" s="5" t="s">
        <v>52</v>
      </c>
      <c r="H30" s="5" t="s">
        <v>167</v>
      </c>
      <c r="I30" s="31">
        <v>1</v>
      </c>
      <c r="J30" s="32">
        <v>32000</v>
      </c>
      <c r="K30" s="33">
        <v>0.1</v>
      </c>
      <c r="L30" s="34">
        <v>28800</v>
      </c>
      <c r="M30" s="35">
        <v>4320</v>
      </c>
      <c r="N30" s="5" t="s">
        <v>22</v>
      </c>
      <c r="O30" s="5" t="s">
        <v>47</v>
      </c>
    </row>
    <row r="31" spans="1:15" x14ac:dyDescent="0.35">
      <c r="A31" s="3" t="s">
        <v>168</v>
      </c>
      <c r="B31" s="30">
        <v>45807</v>
      </c>
      <c r="C31" s="5" t="s">
        <v>170</v>
      </c>
      <c r="D31" s="5" t="s">
        <v>171</v>
      </c>
      <c r="E31" s="5" t="s">
        <v>27</v>
      </c>
      <c r="F31" s="5" t="s">
        <v>28</v>
      </c>
      <c r="G31" s="5" t="s">
        <v>60</v>
      </c>
      <c r="H31" s="5" t="s">
        <v>172</v>
      </c>
      <c r="I31" s="31">
        <v>2</v>
      </c>
      <c r="J31" s="32">
        <v>5500</v>
      </c>
      <c r="K31" s="33">
        <v>0.05</v>
      </c>
      <c r="L31" s="34">
        <v>10450</v>
      </c>
      <c r="M31" s="35">
        <v>1567.5</v>
      </c>
      <c r="N31" s="5" t="s">
        <v>54</v>
      </c>
      <c r="O31" s="5" t="s">
        <v>55</v>
      </c>
    </row>
    <row r="32" spans="1:15" x14ac:dyDescent="0.35">
      <c r="A32" s="3" t="s">
        <v>173</v>
      </c>
      <c r="B32" s="30">
        <v>45808</v>
      </c>
      <c r="C32" s="5" t="s">
        <v>174</v>
      </c>
      <c r="D32" s="5" t="s">
        <v>175</v>
      </c>
      <c r="E32" s="5" t="s">
        <v>35</v>
      </c>
      <c r="F32" s="5" t="s">
        <v>19</v>
      </c>
      <c r="G32" s="5" t="s">
        <v>20</v>
      </c>
      <c r="H32" s="5" t="s">
        <v>21</v>
      </c>
      <c r="I32" s="31">
        <v>6</v>
      </c>
      <c r="J32" s="32">
        <v>850</v>
      </c>
      <c r="K32" s="33">
        <v>0.05</v>
      </c>
      <c r="L32" s="34">
        <v>4845</v>
      </c>
      <c r="M32" s="35">
        <v>726.75</v>
      </c>
      <c r="N32" s="5" t="s">
        <v>22</v>
      </c>
      <c r="O32" s="5" t="s">
        <v>23</v>
      </c>
    </row>
    <row r="33" spans="1:15" x14ac:dyDescent="0.35">
      <c r="A33" s="3" t="s">
        <v>176</v>
      </c>
      <c r="B33" s="30">
        <v>45809</v>
      </c>
      <c r="C33" s="5" t="s">
        <v>177</v>
      </c>
      <c r="D33" s="5" t="s">
        <v>178</v>
      </c>
      <c r="E33" s="5" t="s">
        <v>43</v>
      </c>
      <c r="F33" s="5" t="s">
        <v>28</v>
      </c>
      <c r="G33" s="5" t="s">
        <v>36</v>
      </c>
      <c r="H33" s="5" t="s">
        <v>37</v>
      </c>
      <c r="I33" s="31">
        <v>4</v>
      </c>
      <c r="J33" s="32">
        <v>6500</v>
      </c>
      <c r="K33" s="33">
        <v>0.1</v>
      </c>
      <c r="L33" s="34">
        <v>23400</v>
      </c>
      <c r="M33" s="35">
        <v>3510</v>
      </c>
      <c r="N33" s="5" t="s">
        <v>30</v>
      </c>
      <c r="O33" s="5" t="s">
        <v>31</v>
      </c>
    </row>
    <row r="34" spans="1:15" x14ac:dyDescent="0.35">
      <c r="A34" s="3" t="s">
        <v>179</v>
      </c>
      <c r="B34" s="30">
        <v>45810</v>
      </c>
      <c r="C34" s="5" t="s">
        <v>180</v>
      </c>
      <c r="D34" s="5" t="s">
        <v>181</v>
      </c>
      <c r="E34" s="5" t="s">
        <v>18</v>
      </c>
      <c r="F34" s="5" t="s">
        <v>44</v>
      </c>
      <c r="G34" s="5" t="s">
        <v>45</v>
      </c>
      <c r="H34" s="5" t="s">
        <v>46</v>
      </c>
      <c r="I34" s="31">
        <v>10</v>
      </c>
      <c r="J34" s="32">
        <v>1500</v>
      </c>
      <c r="K34" s="33">
        <v>0.05</v>
      </c>
      <c r="L34" s="34">
        <v>14250</v>
      </c>
      <c r="M34" s="35">
        <v>2137.5</v>
      </c>
      <c r="N34" s="5" t="s">
        <v>38</v>
      </c>
      <c r="O34" s="5" t="s">
        <v>39</v>
      </c>
    </row>
    <row r="35" spans="1:15" x14ac:dyDescent="0.35">
      <c r="A35" s="3" t="s">
        <v>182</v>
      </c>
      <c r="B35" s="30">
        <v>45811</v>
      </c>
      <c r="C35" s="5" t="s">
        <v>183</v>
      </c>
      <c r="D35" s="5" t="s">
        <v>184</v>
      </c>
      <c r="E35" s="5" t="s">
        <v>27</v>
      </c>
      <c r="F35" s="5" t="s">
        <v>19</v>
      </c>
      <c r="G35" s="5" t="s">
        <v>52</v>
      </c>
      <c r="H35" s="5" t="s">
        <v>53</v>
      </c>
      <c r="I35" s="31">
        <v>5</v>
      </c>
      <c r="J35" s="32">
        <v>1800</v>
      </c>
      <c r="K35" s="33">
        <v>0.1</v>
      </c>
      <c r="L35" s="34">
        <v>8100</v>
      </c>
      <c r="M35" s="35">
        <v>1215</v>
      </c>
      <c r="N35" s="5" t="s">
        <v>22</v>
      </c>
      <c r="O35" s="5" t="s">
        <v>47</v>
      </c>
    </row>
    <row r="36" spans="1:15" x14ac:dyDescent="0.35">
      <c r="A36" s="3" t="s">
        <v>185</v>
      </c>
      <c r="B36" s="30">
        <v>45812</v>
      </c>
      <c r="C36" s="5" t="s">
        <v>187</v>
      </c>
      <c r="D36" s="5" t="s">
        <v>188</v>
      </c>
      <c r="E36" s="5" t="s">
        <v>35</v>
      </c>
      <c r="F36" s="5" t="s">
        <v>28</v>
      </c>
      <c r="G36" s="5" t="s">
        <v>60</v>
      </c>
      <c r="H36" s="5" t="s">
        <v>61</v>
      </c>
      <c r="I36" s="31">
        <v>4</v>
      </c>
      <c r="J36" s="32">
        <v>3500</v>
      </c>
      <c r="K36" s="33">
        <v>0.05</v>
      </c>
      <c r="L36" s="34">
        <v>13300</v>
      </c>
      <c r="M36" s="35">
        <v>1995</v>
      </c>
      <c r="N36" s="5" t="s">
        <v>54</v>
      </c>
      <c r="O36" s="5" t="s">
        <v>55</v>
      </c>
    </row>
    <row r="37" spans="1:15" x14ac:dyDescent="0.35">
      <c r="A37" s="3" t="s">
        <v>189</v>
      </c>
      <c r="B37" s="30">
        <v>45813</v>
      </c>
      <c r="C37" s="5" t="s">
        <v>191</v>
      </c>
      <c r="D37" s="5" t="s">
        <v>192</v>
      </c>
      <c r="E37" s="5" t="s">
        <v>43</v>
      </c>
      <c r="F37" s="5" t="s">
        <v>19</v>
      </c>
      <c r="G37" s="5" t="s">
        <v>20</v>
      </c>
      <c r="H37" s="5" t="s">
        <v>29</v>
      </c>
      <c r="I37" s="31">
        <v>3</v>
      </c>
      <c r="J37" s="32">
        <v>1200</v>
      </c>
      <c r="K37" s="33">
        <v>0</v>
      </c>
      <c r="L37" s="34">
        <v>3600</v>
      </c>
      <c r="M37" s="35">
        <v>540</v>
      </c>
      <c r="N37" s="5" t="s">
        <v>30</v>
      </c>
      <c r="O37" s="5" t="s">
        <v>23</v>
      </c>
    </row>
    <row r="38" spans="1:15" x14ac:dyDescent="0.35">
      <c r="A38" s="3" t="s">
        <v>193</v>
      </c>
      <c r="B38" s="30">
        <v>45814</v>
      </c>
      <c r="C38" s="5" t="s">
        <v>195</v>
      </c>
      <c r="D38" s="5" t="s">
        <v>196</v>
      </c>
      <c r="E38" s="5" t="s">
        <v>18</v>
      </c>
      <c r="F38" s="5" t="s">
        <v>28</v>
      </c>
      <c r="G38" s="5" t="s">
        <v>36</v>
      </c>
      <c r="H38" s="5" t="s">
        <v>71</v>
      </c>
      <c r="I38" s="31">
        <v>3</v>
      </c>
      <c r="J38" s="32">
        <v>5500</v>
      </c>
      <c r="K38" s="33">
        <v>0.1</v>
      </c>
      <c r="L38" s="34">
        <v>14850</v>
      </c>
      <c r="M38" s="35">
        <v>2227.5</v>
      </c>
      <c r="N38" s="5" t="s">
        <v>22</v>
      </c>
      <c r="O38" s="5" t="s">
        <v>31</v>
      </c>
    </row>
    <row r="39" spans="1:15" x14ac:dyDescent="0.35">
      <c r="A39" s="3" t="s">
        <v>197</v>
      </c>
      <c r="B39" s="30">
        <v>45815</v>
      </c>
      <c r="C39" s="5" t="s">
        <v>199</v>
      </c>
      <c r="D39" s="5" t="s">
        <v>200</v>
      </c>
      <c r="E39" s="5" t="s">
        <v>27</v>
      </c>
      <c r="F39" s="5" t="s">
        <v>44</v>
      </c>
      <c r="G39" s="5" t="s">
        <v>45</v>
      </c>
      <c r="H39" s="5" t="s">
        <v>76</v>
      </c>
      <c r="I39" s="31">
        <v>8</v>
      </c>
      <c r="J39" s="32">
        <v>2200</v>
      </c>
      <c r="K39" s="33">
        <v>0.05</v>
      </c>
      <c r="L39" s="34">
        <v>16720</v>
      </c>
      <c r="M39" s="35">
        <v>2508</v>
      </c>
      <c r="N39" s="5" t="s">
        <v>38</v>
      </c>
      <c r="O39" s="5" t="s">
        <v>39</v>
      </c>
    </row>
    <row r="40" spans="1:15" x14ac:dyDescent="0.35">
      <c r="A40" s="3" t="s">
        <v>201</v>
      </c>
      <c r="B40" s="30">
        <v>45816</v>
      </c>
      <c r="C40" s="5" t="s">
        <v>203</v>
      </c>
      <c r="D40" s="5" t="s">
        <v>204</v>
      </c>
      <c r="E40" s="5" t="s">
        <v>35</v>
      </c>
      <c r="F40" s="5" t="s">
        <v>19</v>
      </c>
      <c r="G40" s="5" t="s">
        <v>52</v>
      </c>
      <c r="H40" s="5" t="s">
        <v>81</v>
      </c>
      <c r="I40" s="31">
        <v>4</v>
      </c>
      <c r="J40" s="32">
        <v>4200</v>
      </c>
      <c r="K40" s="33">
        <v>0.1</v>
      </c>
      <c r="L40" s="34">
        <v>15120</v>
      </c>
      <c r="M40" s="35">
        <v>2268</v>
      </c>
      <c r="N40" s="5" t="s">
        <v>22</v>
      </c>
      <c r="O40" s="5" t="s">
        <v>47</v>
      </c>
    </row>
    <row r="41" spans="1:15" x14ac:dyDescent="0.35">
      <c r="A41" s="3" t="s">
        <v>205</v>
      </c>
      <c r="B41" s="30">
        <v>45817</v>
      </c>
      <c r="C41" s="5" t="s">
        <v>207</v>
      </c>
      <c r="D41" s="5" t="s">
        <v>208</v>
      </c>
      <c r="E41" s="5" t="s">
        <v>43</v>
      </c>
      <c r="F41" s="5" t="s">
        <v>28</v>
      </c>
      <c r="G41" s="5" t="s">
        <v>60</v>
      </c>
      <c r="H41" s="5" t="s">
        <v>93</v>
      </c>
      <c r="I41" s="31">
        <v>3</v>
      </c>
      <c r="J41" s="32">
        <v>5000</v>
      </c>
      <c r="K41" s="33">
        <v>0.05</v>
      </c>
      <c r="L41" s="34">
        <v>14250</v>
      </c>
      <c r="M41" s="35">
        <v>2137.5</v>
      </c>
      <c r="N41" s="5" t="s">
        <v>54</v>
      </c>
      <c r="O41" s="5" t="s">
        <v>55</v>
      </c>
    </row>
    <row r="42" spans="1:15" x14ac:dyDescent="0.35">
      <c r="A42" s="3" t="s">
        <v>209</v>
      </c>
      <c r="B42" s="30">
        <v>45818</v>
      </c>
      <c r="C42" s="5" t="s">
        <v>210</v>
      </c>
      <c r="D42" s="5" t="s">
        <v>211</v>
      </c>
      <c r="E42" s="5" t="s">
        <v>18</v>
      </c>
      <c r="F42" s="5" t="s">
        <v>19</v>
      </c>
      <c r="G42" s="5" t="s">
        <v>20</v>
      </c>
      <c r="H42" s="5" t="s">
        <v>85</v>
      </c>
      <c r="I42" s="31">
        <v>8</v>
      </c>
      <c r="J42" s="32">
        <v>1600</v>
      </c>
      <c r="K42" s="33">
        <v>0.05</v>
      </c>
      <c r="L42" s="34">
        <v>12160</v>
      </c>
      <c r="M42" s="35">
        <v>1824</v>
      </c>
      <c r="N42" s="5" t="s">
        <v>22</v>
      </c>
      <c r="O42" s="5" t="s">
        <v>23</v>
      </c>
    </row>
    <row r="43" spans="1:15" x14ac:dyDescent="0.35">
      <c r="A43" s="3" t="s">
        <v>212</v>
      </c>
      <c r="B43" s="30">
        <v>45819</v>
      </c>
      <c r="C43" s="5" t="s">
        <v>213</v>
      </c>
      <c r="D43" s="5" t="s">
        <v>214</v>
      </c>
      <c r="E43" s="5" t="s">
        <v>27</v>
      </c>
      <c r="F43" s="5" t="s">
        <v>28</v>
      </c>
      <c r="G43" s="5" t="s">
        <v>36</v>
      </c>
      <c r="H43" s="5" t="s">
        <v>89</v>
      </c>
      <c r="I43" s="31">
        <v>2</v>
      </c>
      <c r="J43" s="32">
        <v>4800</v>
      </c>
      <c r="K43" s="33">
        <v>0.1</v>
      </c>
      <c r="L43" s="34">
        <v>8640</v>
      </c>
      <c r="M43" s="35">
        <v>1296</v>
      </c>
      <c r="N43" s="5" t="s">
        <v>30</v>
      </c>
      <c r="O43" s="5" t="s">
        <v>31</v>
      </c>
    </row>
    <row r="44" spans="1:15" x14ac:dyDescent="0.35">
      <c r="A44" s="3" t="s">
        <v>215</v>
      </c>
      <c r="B44" s="30">
        <v>45820</v>
      </c>
      <c r="C44" s="5" t="s">
        <v>216</v>
      </c>
      <c r="D44" s="5" t="s">
        <v>217</v>
      </c>
      <c r="E44" s="5" t="s">
        <v>35</v>
      </c>
      <c r="F44" s="5" t="s">
        <v>44</v>
      </c>
      <c r="G44" s="5" t="s">
        <v>45</v>
      </c>
      <c r="H44" s="5" t="s">
        <v>97</v>
      </c>
      <c r="I44" s="31">
        <v>12</v>
      </c>
      <c r="J44" s="32">
        <v>800</v>
      </c>
      <c r="K44" s="33">
        <v>0.05</v>
      </c>
      <c r="L44" s="34">
        <v>9120</v>
      </c>
      <c r="M44" s="35">
        <v>1368</v>
      </c>
      <c r="N44" s="5" t="s">
        <v>38</v>
      </c>
      <c r="O44" s="5" t="s">
        <v>39</v>
      </c>
    </row>
    <row r="45" spans="1:15" x14ac:dyDescent="0.35">
      <c r="A45" s="3" t="s">
        <v>218</v>
      </c>
      <c r="B45" s="30">
        <v>45821</v>
      </c>
      <c r="C45" s="5" t="s">
        <v>220</v>
      </c>
      <c r="D45" s="5" t="s">
        <v>221</v>
      </c>
      <c r="E45" s="5" t="s">
        <v>43</v>
      </c>
      <c r="F45" s="5" t="s">
        <v>19</v>
      </c>
      <c r="G45" s="5" t="s">
        <v>52</v>
      </c>
      <c r="H45" s="5" t="s">
        <v>101</v>
      </c>
      <c r="I45" s="31">
        <v>2</v>
      </c>
      <c r="J45" s="32">
        <v>6000</v>
      </c>
      <c r="K45" s="33">
        <v>0</v>
      </c>
      <c r="L45" s="34">
        <v>12000</v>
      </c>
      <c r="M45" s="35">
        <v>1800</v>
      </c>
      <c r="N45" s="5" t="s">
        <v>22</v>
      </c>
      <c r="O45" s="5" t="s">
        <v>47</v>
      </c>
    </row>
    <row r="46" spans="1:15" x14ac:dyDescent="0.35">
      <c r="A46" s="3" t="s">
        <v>222</v>
      </c>
      <c r="B46" s="30">
        <v>45822</v>
      </c>
      <c r="C46" s="5" t="s">
        <v>224</v>
      </c>
      <c r="D46" s="5" t="s">
        <v>225</v>
      </c>
      <c r="E46" s="5" t="s">
        <v>18</v>
      </c>
      <c r="F46" s="5" t="s">
        <v>28</v>
      </c>
      <c r="G46" s="5" t="s">
        <v>60</v>
      </c>
      <c r="H46" s="5" t="s">
        <v>121</v>
      </c>
      <c r="I46" s="31">
        <v>7</v>
      </c>
      <c r="J46" s="32">
        <v>1800</v>
      </c>
      <c r="K46" s="33">
        <v>0.1</v>
      </c>
      <c r="L46" s="34">
        <v>11340</v>
      </c>
      <c r="M46" s="35">
        <v>1701</v>
      </c>
      <c r="N46" s="5" t="s">
        <v>54</v>
      </c>
      <c r="O46" s="5" t="s">
        <v>55</v>
      </c>
    </row>
    <row r="47" spans="1:15" x14ac:dyDescent="0.35">
      <c r="A47" s="3" t="s">
        <v>226</v>
      </c>
      <c r="B47" s="30">
        <v>45823</v>
      </c>
      <c r="C47" s="5" t="s">
        <v>228</v>
      </c>
      <c r="D47" s="5" t="s">
        <v>229</v>
      </c>
      <c r="E47" s="5" t="s">
        <v>27</v>
      </c>
      <c r="F47" s="5" t="s">
        <v>19</v>
      </c>
      <c r="G47" s="5" t="s">
        <v>20</v>
      </c>
      <c r="H47" s="5" t="s">
        <v>106</v>
      </c>
      <c r="I47" s="31">
        <v>5</v>
      </c>
      <c r="J47" s="32">
        <v>2500</v>
      </c>
      <c r="K47" s="33">
        <v>0.05</v>
      </c>
      <c r="L47" s="34">
        <v>11875</v>
      </c>
      <c r="M47" s="35">
        <v>1781.25</v>
      </c>
      <c r="N47" s="5" t="s">
        <v>22</v>
      </c>
      <c r="O47" s="5" t="s">
        <v>23</v>
      </c>
    </row>
    <row r="48" spans="1:15" x14ac:dyDescent="0.35">
      <c r="A48" s="3" t="s">
        <v>230</v>
      </c>
      <c r="B48" s="30">
        <v>45824</v>
      </c>
      <c r="C48" s="5" t="s">
        <v>232</v>
      </c>
      <c r="D48" s="5" t="s">
        <v>233</v>
      </c>
      <c r="E48" s="5" t="s">
        <v>35</v>
      </c>
      <c r="F48" s="5" t="s">
        <v>28</v>
      </c>
      <c r="G48" s="5" t="s">
        <v>36</v>
      </c>
      <c r="H48" s="5" t="s">
        <v>111</v>
      </c>
      <c r="I48" s="31">
        <v>8</v>
      </c>
      <c r="J48" s="32">
        <v>2800</v>
      </c>
      <c r="K48" s="33">
        <v>0.1</v>
      </c>
      <c r="L48" s="34">
        <v>20160</v>
      </c>
      <c r="M48" s="35">
        <v>3024</v>
      </c>
      <c r="N48" s="5" t="s">
        <v>30</v>
      </c>
      <c r="O48" s="5" t="s">
        <v>31</v>
      </c>
    </row>
    <row r="49" spans="1:15" x14ac:dyDescent="0.35">
      <c r="A49" s="3" t="s">
        <v>234</v>
      </c>
      <c r="B49" s="30">
        <v>45825</v>
      </c>
      <c r="C49" s="5" t="s">
        <v>236</v>
      </c>
      <c r="D49" s="5" t="s">
        <v>237</v>
      </c>
      <c r="E49" s="5" t="s">
        <v>43</v>
      </c>
      <c r="F49" s="5" t="s">
        <v>44</v>
      </c>
      <c r="G49" s="5" t="s">
        <v>45</v>
      </c>
      <c r="H49" s="5" t="s">
        <v>116</v>
      </c>
      <c r="I49" s="31">
        <v>6</v>
      </c>
      <c r="J49" s="32">
        <v>3200</v>
      </c>
      <c r="K49" s="33">
        <v>0.05</v>
      </c>
      <c r="L49" s="34">
        <v>18240</v>
      </c>
      <c r="M49" s="35">
        <v>2736</v>
      </c>
      <c r="N49" s="5" t="s">
        <v>38</v>
      </c>
      <c r="O49" s="5" t="s">
        <v>39</v>
      </c>
    </row>
    <row r="50" spans="1:15" x14ac:dyDescent="0.35">
      <c r="A50" s="3" t="s">
        <v>238</v>
      </c>
      <c r="B50" s="30">
        <v>45826</v>
      </c>
      <c r="C50" s="5" t="s">
        <v>240</v>
      </c>
      <c r="D50" s="5" t="s">
        <v>241</v>
      </c>
      <c r="E50" s="5" t="s">
        <v>18</v>
      </c>
      <c r="F50" s="5" t="s">
        <v>19</v>
      </c>
      <c r="G50" s="5" t="s">
        <v>52</v>
      </c>
      <c r="H50" s="5" t="s">
        <v>126</v>
      </c>
      <c r="I50" s="31">
        <v>3</v>
      </c>
      <c r="J50" s="32">
        <v>8500</v>
      </c>
      <c r="K50" s="33">
        <v>0.1</v>
      </c>
      <c r="L50" s="34">
        <v>22950</v>
      </c>
      <c r="M50" s="35">
        <v>3442.5</v>
      </c>
      <c r="N50" s="5" t="s">
        <v>22</v>
      </c>
      <c r="O50" s="5" t="s">
        <v>47</v>
      </c>
    </row>
    <row r="51" spans="1:15" x14ac:dyDescent="0.35">
      <c r="A51" s="3" t="s">
        <v>242</v>
      </c>
      <c r="B51" s="30">
        <v>45827</v>
      </c>
      <c r="C51" s="5" t="s">
        <v>244</v>
      </c>
      <c r="D51" s="5" t="s">
        <v>245</v>
      </c>
      <c r="E51" s="5" t="s">
        <v>27</v>
      </c>
      <c r="F51" s="5" t="s">
        <v>28</v>
      </c>
      <c r="G51" s="5" t="s">
        <v>60</v>
      </c>
      <c r="H51" s="5" t="s">
        <v>147</v>
      </c>
      <c r="I51" s="31">
        <v>5</v>
      </c>
      <c r="J51" s="32">
        <v>2400</v>
      </c>
      <c r="K51" s="33">
        <v>0.05</v>
      </c>
      <c r="L51" s="34">
        <v>11400</v>
      </c>
      <c r="M51" s="35">
        <v>1710</v>
      </c>
      <c r="N51" s="5" t="s">
        <v>54</v>
      </c>
      <c r="O51" s="5" t="s">
        <v>55</v>
      </c>
    </row>
  </sheetData>
  <autoFilter ref="A1:O1" xr:uid="{D2D238C5-55CC-4E3A-8675-70A64F4C8D8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9817-3167-4FAB-A953-1C4D82EB61A6}">
  <dimension ref="A1:B8"/>
  <sheetViews>
    <sheetView workbookViewId="0">
      <selection activeCell="F10" sqref="F10:G12"/>
    </sheetView>
  </sheetViews>
  <sheetFormatPr defaultRowHeight="14.5" x14ac:dyDescent="0.35"/>
  <cols>
    <col min="1" max="1" width="17.54296875" customWidth="1"/>
    <col min="2" max="2" width="11.36328125" bestFit="1" customWidth="1"/>
    <col min="6" max="6" width="18.08984375" customWidth="1"/>
    <col min="7" max="7" width="27.453125" customWidth="1"/>
  </cols>
  <sheetData>
    <row r="1" spans="1:2" x14ac:dyDescent="0.35">
      <c r="A1" s="15" t="s">
        <v>247</v>
      </c>
      <c r="B1" s="15" t="s">
        <v>248</v>
      </c>
    </row>
    <row r="2" spans="1:2" ht="29" x14ac:dyDescent="0.35">
      <c r="A2" s="16" t="s">
        <v>249</v>
      </c>
      <c r="B2" s="20">
        <f>SUM('Cleaned Data'!L2:L51)</f>
        <v>603942.5</v>
      </c>
    </row>
    <row r="3" spans="1:2" x14ac:dyDescent="0.35">
      <c r="A3" s="16" t="s">
        <v>250</v>
      </c>
      <c r="B3" s="21">
        <f>SUM('Cleaned Data'!M2:M51)</f>
        <v>90591.38</v>
      </c>
    </row>
    <row r="4" spans="1:2" x14ac:dyDescent="0.35">
      <c r="A4" s="16" t="s">
        <v>251</v>
      </c>
      <c r="B4" s="22">
        <v>6.6666662987140718E-2</v>
      </c>
    </row>
    <row r="5" spans="1:2" ht="29" x14ac:dyDescent="0.35">
      <c r="A5" s="16" t="s">
        <v>252</v>
      </c>
      <c r="B5" s="23">
        <f>AVERAGE('Cleaned Data'!L2:L51)</f>
        <v>12078.85</v>
      </c>
    </row>
    <row r="6" spans="1:2" x14ac:dyDescent="0.35">
      <c r="A6" s="16" t="s">
        <v>253</v>
      </c>
      <c r="B6" s="23">
        <f>SUM('Cleaned Data'!I2:I51)</f>
        <v>230</v>
      </c>
    </row>
    <row r="7" spans="1:2" x14ac:dyDescent="0.35">
      <c r="A7" s="16" t="s">
        <v>254</v>
      </c>
      <c r="B7" s="20">
        <f>MAX('Cleaned Data'!L2:L51)</f>
        <v>28800</v>
      </c>
    </row>
    <row r="8" spans="1:2" x14ac:dyDescent="0.35">
      <c r="A8" s="16" t="s">
        <v>255</v>
      </c>
      <c r="B8" s="24">
        <f>MIN('Cleaned Data'!L2:L51)</f>
        <v>2422.5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8F97-E60A-471C-B40C-A7AE5FB2D1FA}">
  <dimension ref="A1:B3"/>
  <sheetViews>
    <sheetView workbookViewId="0">
      <selection activeCell="B9" sqref="B9"/>
    </sheetView>
  </sheetViews>
  <sheetFormatPr defaultRowHeight="14.5" x14ac:dyDescent="0.35"/>
  <cols>
    <col min="1" max="1" width="12.08984375" customWidth="1"/>
    <col min="2" max="2" width="28.6328125" customWidth="1"/>
  </cols>
  <sheetData>
    <row r="1" spans="1:2" x14ac:dyDescent="0.35">
      <c r="A1" s="17" t="s">
        <v>247</v>
      </c>
      <c r="B1" s="3" t="s">
        <v>259</v>
      </c>
    </row>
    <row r="2" spans="1:2" ht="43.5" x14ac:dyDescent="0.35">
      <c r="A2" s="18" t="s">
        <v>260</v>
      </c>
      <c r="B2" s="19" t="s">
        <v>257</v>
      </c>
    </row>
    <row r="3" spans="1:2" ht="72.5" x14ac:dyDescent="0.35">
      <c r="A3" s="18" t="s">
        <v>256</v>
      </c>
      <c r="B3" s="19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8413-0932-477D-AA88-BA34FE274ED1}">
  <dimension ref="A1:H18"/>
  <sheetViews>
    <sheetView workbookViewId="0">
      <selection activeCell="A3" sqref="A3:B3"/>
    </sheetView>
  </sheetViews>
  <sheetFormatPr defaultRowHeight="14.5" x14ac:dyDescent="0.35"/>
  <sheetData>
    <row r="1" spans="1:8" ht="18.5" x14ac:dyDescent="0.45">
      <c r="A1" s="12" t="s">
        <v>262</v>
      </c>
      <c r="B1" s="12"/>
      <c r="C1" s="12"/>
      <c r="F1" s="12" t="s">
        <v>264</v>
      </c>
      <c r="G1" s="12"/>
      <c r="H1" s="12"/>
    </row>
    <row r="2" spans="1:8" ht="18.5" x14ac:dyDescent="0.45">
      <c r="A2" s="12"/>
      <c r="B2" s="12"/>
      <c r="C2" s="12"/>
    </row>
    <row r="3" spans="1:8" ht="43.5" x14ac:dyDescent="0.35">
      <c r="A3" s="15" t="s">
        <v>6</v>
      </c>
      <c r="B3" s="15" t="s">
        <v>261</v>
      </c>
      <c r="F3" s="15" t="s">
        <v>5</v>
      </c>
      <c r="G3" s="15" t="s">
        <v>250</v>
      </c>
    </row>
    <row r="4" spans="1:8" ht="29" x14ac:dyDescent="0.35">
      <c r="A4" s="16" t="s">
        <v>20</v>
      </c>
      <c r="B4" s="16">
        <f>SUMIF('Cleaned Data'!G2:G51,"Electronics",'Cleaned Data'!L2:L51)</f>
        <v>82777.5</v>
      </c>
      <c r="F4" s="16" t="s">
        <v>19</v>
      </c>
      <c r="G4" s="16">
        <f>SUMIF('Cleaned Data'!F2:F51,"Consumer",'Cleaned Data'!M2:M51)</f>
        <v>33988.130000000005</v>
      </c>
    </row>
    <row r="5" spans="1:8" ht="29" x14ac:dyDescent="0.35">
      <c r="A5" s="16" t="s">
        <v>36</v>
      </c>
      <c r="B5" s="16">
        <f>SUMIF('Cleaned Data'!G2:G51,"Furniture",'Cleaned Data'!L2:L51)</f>
        <v>154770</v>
      </c>
      <c r="F5" s="16" t="s">
        <v>28</v>
      </c>
      <c r="G5" s="16">
        <f>SUMIF('Cleaned Data'!F2:F51,"Corporate",'Cleaned Data'!M2:M51)</f>
        <v>35869.5</v>
      </c>
    </row>
    <row r="6" spans="1:8" ht="29" x14ac:dyDescent="0.35">
      <c r="A6" s="16" t="s">
        <v>45</v>
      </c>
      <c r="B6" s="16">
        <f>SUMIF('Cleaned Data'!G4:G53,"Electronics",'Cleaned Data'!L4:L53)</f>
        <v>74955</v>
      </c>
      <c r="F6" s="16" t="s">
        <v>44</v>
      </c>
      <c r="G6" s="16">
        <f>SUMIF('Cleaned Data'!F2:F51,"Small Business",'Cleaned Data'!M2:M51)</f>
        <v>20733.75</v>
      </c>
    </row>
    <row r="7" spans="1:8" ht="29" x14ac:dyDescent="0.35">
      <c r="A7" s="16" t="s">
        <v>52</v>
      </c>
      <c r="B7" s="16">
        <f>SUMIF('Cleaned Data'!G4:G53,"Furniture",'Cleaned Data'!L4:L53)</f>
        <v>154770</v>
      </c>
    </row>
    <row r="8" spans="1:8" x14ac:dyDescent="0.35">
      <c r="A8" s="16" t="s">
        <v>60</v>
      </c>
      <c r="B8" s="16">
        <f>SUMIF('Cleaned Data'!G6:G55,"Electronics",'Cleaned Data'!L6:L55)</f>
        <v>74955</v>
      </c>
    </row>
    <row r="11" spans="1:8" ht="18.5" x14ac:dyDescent="0.45">
      <c r="A11" s="12" t="s">
        <v>263</v>
      </c>
      <c r="B11" s="13"/>
      <c r="F11" s="14" t="s">
        <v>266</v>
      </c>
    </row>
    <row r="13" spans="1:8" ht="29" x14ac:dyDescent="0.35">
      <c r="A13" s="15" t="s">
        <v>4</v>
      </c>
      <c r="B13" s="15" t="s">
        <v>261</v>
      </c>
      <c r="F13" s="15" t="s">
        <v>6</v>
      </c>
      <c r="G13" s="15" t="s">
        <v>265</v>
      </c>
    </row>
    <row r="14" spans="1:8" ht="29" x14ac:dyDescent="0.35">
      <c r="A14" s="16" t="s">
        <v>18</v>
      </c>
      <c r="B14" s="16">
        <f>SUMIF('Cleaned Data'!E2:E51,"North",'Cleaned Data'!L2:L51)</f>
        <v>172417.5</v>
      </c>
      <c r="F14" s="16" t="s">
        <v>20</v>
      </c>
      <c r="G14" s="16">
        <f>SUMIF('Cleaned Data'!G2:G51,"Electronics",'Cleaned Data'!I2:I51)</f>
        <v>55</v>
      </c>
    </row>
    <row r="15" spans="1:8" x14ac:dyDescent="0.35">
      <c r="A15" s="16" t="s">
        <v>27</v>
      </c>
      <c r="B15" s="16">
        <f>SUMIF('Cleaned Data'!E3:E52,"South",'Cleaned Data'!L3:L52)</f>
        <v>133485</v>
      </c>
      <c r="F15" s="16" t="s">
        <v>36</v>
      </c>
      <c r="G15" s="16">
        <f>SUMIF('Cleaned Data'!G3:G52,"Furniture",'Cleaned Data'!I3:I52)</f>
        <v>33</v>
      </c>
    </row>
    <row r="16" spans="1:8" x14ac:dyDescent="0.35">
      <c r="A16" s="16" t="s">
        <v>35</v>
      </c>
      <c r="B16" s="16">
        <f>SUMIF('Cleaned Data'!E4:E53,"East",'Cleaned Data'!L4:L53)</f>
        <v>144415</v>
      </c>
      <c r="F16" s="16" t="s">
        <v>45</v>
      </c>
      <c r="G16" s="16">
        <f>SUMIF('Cleaned Data'!G4:G53,"Clothing",'Cleaned Data'!I4:I53)</f>
        <v>76</v>
      </c>
    </row>
    <row r="17" spans="1:7" ht="29" x14ac:dyDescent="0.35">
      <c r="A17" s="16" t="s">
        <v>43</v>
      </c>
      <c r="B17" s="16">
        <f>SUMIF('Cleaned Data'!E5:E54,"West",'Cleaned Data'!L5:L54)</f>
        <v>153625</v>
      </c>
      <c r="F17" s="16" t="s">
        <v>52</v>
      </c>
      <c r="G17" s="16">
        <f>SUMIF('Cleaned Data'!G5:G54,"Home &amp; Kitchen",'Cleaned Data'!I5:I54)</f>
        <v>31</v>
      </c>
    </row>
    <row r="18" spans="1:7" x14ac:dyDescent="0.35">
      <c r="F18" s="16" t="s">
        <v>60</v>
      </c>
      <c r="G18" s="16">
        <f>SUMIF('Cleaned Data'!G6:G55,"Sports",'Cleaned Data'!I6:I55)</f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Retail Domain &amp; KPIs</vt:lpstr>
      <vt:lpstr>KPI Explanation</vt:lpstr>
      <vt:lpstr>Basic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midhilajmahir@gmail.com</dc:creator>
  <cp:lastModifiedBy>midhilajmahir@gmail.com</cp:lastModifiedBy>
  <dcterms:created xsi:type="dcterms:W3CDTF">2026-09-29T10:19:50Z</dcterms:created>
  <dcterms:modified xsi:type="dcterms:W3CDTF">2026-10-01T06:17:14Z</dcterms:modified>
</cp:coreProperties>
</file>